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eunbee/Downloads/"/>
    </mc:Choice>
  </mc:AlternateContent>
  <xr:revisionPtr revIDLastSave="0" documentId="13_ncr:1_{7E1FAB77-5DB4-924F-8961-4B830E19AA02}" xr6:coauthVersionLast="47" xr6:coauthVersionMax="47" xr10:uidLastSave="{00000000-0000-0000-0000-000000000000}"/>
  <bookViews>
    <workbookView xWindow="1640" yWindow="2220" windowWidth="38400" windowHeight="19480" activeTab="3" xr2:uid="{00000000-000D-0000-FFFF-FFFF00000000}"/>
  </bookViews>
  <sheets>
    <sheet name="OWM X BRANDSLAM" sheetId="1" r:id="rId1"/>
    <sheet name="종합" sheetId="2" r:id="rId2"/>
    <sheet name="6월 영미권 OWM(강남, 북촌, 성수, 종각, 이태원)" sheetId="3" r:id="rId3"/>
    <sheet name="6월 중화권 OWM(강남, 북촌, 성수, 종각, 이태원)" sheetId="4" r:id="rId4"/>
    <sheet name="6월 신사점 메가" sheetId="5" r:id="rId5"/>
    <sheet name="4,5월 성수지점" sheetId="6" r:id="rId6"/>
    <sheet name="4,5월 이태원지점" sheetId="7" r:id="rId7"/>
    <sheet name="4,5월  레포트 원본" sheetId="8" r:id="rId8"/>
    <sheet name="이태원성수레포트" sheetId="9" r:id="rId9"/>
    <sheet name="두지점통합레포트" sheetId="10" r:id="rId10"/>
    <sheet name="지점별 방문 인원" sheetId="11" r:id="rId11"/>
  </sheets>
  <definedNames>
    <definedName name="_xlnm._FilterDatabase" localSheetId="5" hidden="1">'4,5월 성수지점'!$A$1:$H$16</definedName>
    <definedName name="_xlnm._FilterDatabase" localSheetId="6" hidden="1">'4,5월 이태원지점'!$A$1:$I$10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0" l="1"/>
  <c r="B22" i="10"/>
  <c r="B17" i="10"/>
  <c r="V240" i="9"/>
  <c r="N240" i="9"/>
  <c r="V239" i="9"/>
  <c r="N239" i="9"/>
  <c r="V237" i="9"/>
  <c r="N237" i="9"/>
  <c r="V233" i="9"/>
  <c r="N233" i="9"/>
  <c r="H233" i="9"/>
  <c r="V230" i="9"/>
  <c r="N230" i="9"/>
  <c r="H230" i="9"/>
  <c r="V229" i="9"/>
  <c r="N229" i="9"/>
  <c r="H229" i="9"/>
  <c r="V227" i="9"/>
  <c r="T227" i="9"/>
  <c r="N227" i="9"/>
  <c r="V224" i="9"/>
  <c r="N224" i="9"/>
  <c r="V222" i="9"/>
  <c r="N222" i="9"/>
  <c r="H222" i="9"/>
  <c r="V221" i="9"/>
  <c r="N221" i="9"/>
  <c r="H221" i="9"/>
  <c r="V218" i="9"/>
  <c r="N218" i="9"/>
  <c r="H218" i="9"/>
  <c r="V212" i="9"/>
  <c r="T212" i="9"/>
  <c r="V211" i="9"/>
  <c r="T211" i="9"/>
  <c r="N211" i="9"/>
  <c r="V210" i="9"/>
  <c r="T210" i="9"/>
  <c r="N210" i="9"/>
  <c r="V209" i="9"/>
  <c r="T209" i="9"/>
  <c r="N209" i="9"/>
  <c r="V207" i="9"/>
  <c r="T207" i="9"/>
  <c r="N207" i="9"/>
  <c r="V206" i="9"/>
  <c r="T206" i="9"/>
  <c r="N206" i="9"/>
  <c r="V205" i="9"/>
  <c r="T205" i="9"/>
  <c r="N205" i="9"/>
  <c r="V204" i="9"/>
  <c r="T204" i="9"/>
  <c r="N204" i="9"/>
  <c r="T202" i="9"/>
  <c r="N202" i="9"/>
  <c r="H202" i="9"/>
  <c r="T201" i="9"/>
  <c r="N201" i="9"/>
  <c r="H201" i="9"/>
  <c r="V197" i="9"/>
  <c r="T197" i="9"/>
  <c r="N197" i="9"/>
  <c r="V196" i="9"/>
  <c r="T196" i="9"/>
  <c r="N196" i="9"/>
  <c r="V195" i="9"/>
  <c r="T195" i="9"/>
  <c r="N195" i="9"/>
  <c r="V194" i="9"/>
  <c r="T194" i="9"/>
  <c r="N194" i="9"/>
  <c r="V193" i="9"/>
  <c r="T193" i="9"/>
  <c r="N193" i="9"/>
  <c r="N188" i="9"/>
  <c r="H188" i="9"/>
  <c r="N187" i="9"/>
  <c r="H187" i="9"/>
  <c r="N186" i="9"/>
  <c r="H186" i="9"/>
  <c r="N185" i="9"/>
  <c r="H185" i="9"/>
  <c r="N184" i="9"/>
  <c r="H184" i="9"/>
  <c r="V181" i="9"/>
  <c r="T181" i="9"/>
  <c r="N181" i="9"/>
  <c r="V179" i="9"/>
  <c r="T179" i="9"/>
  <c r="N179" i="9"/>
  <c r="V178" i="9"/>
  <c r="T178" i="9"/>
  <c r="N178" i="9"/>
  <c r="V177" i="9"/>
  <c r="T177" i="9"/>
  <c r="N177" i="9"/>
  <c r="V176" i="9"/>
  <c r="T176" i="9"/>
  <c r="N176" i="9"/>
  <c r="V175" i="9"/>
  <c r="T175" i="9"/>
  <c r="N175" i="9"/>
  <c r="V174" i="9"/>
  <c r="T174" i="9"/>
  <c r="N174" i="9"/>
  <c r="V173" i="9"/>
  <c r="T173" i="9"/>
  <c r="N173" i="9"/>
  <c r="V171" i="9"/>
  <c r="T171" i="9"/>
  <c r="N171" i="9"/>
  <c r="V170" i="9"/>
  <c r="T170" i="9"/>
  <c r="N170" i="9"/>
  <c r="V167" i="9"/>
  <c r="U167" i="9"/>
  <c r="N167" i="9"/>
  <c r="H167" i="9"/>
  <c r="V166" i="9"/>
  <c r="U166" i="9"/>
  <c r="N166" i="9"/>
  <c r="V163" i="9"/>
  <c r="N163" i="9"/>
  <c r="H163" i="9"/>
  <c r="V161" i="9"/>
  <c r="N161" i="9"/>
  <c r="H161" i="9"/>
  <c r="V157" i="9"/>
  <c r="N157" i="9"/>
  <c r="H157" i="9"/>
  <c r="V155" i="9"/>
  <c r="T155" i="9"/>
  <c r="N155" i="9"/>
  <c r="V154" i="9"/>
  <c r="T154" i="9"/>
  <c r="N154" i="9"/>
  <c r="V153" i="9"/>
  <c r="T153" i="9"/>
  <c r="N153" i="9"/>
  <c r="V152" i="9"/>
  <c r="T152" i="9"/>
  <c r="N152" i="9"/>
  <c r="V151" i="9"/>
  <c r="T151" i="9"/>
  <c r="N151" i="9"/>
  <c r="V150" i="9"/>
  <c r="T150" i="9"/>
  <c r="N150" i="9"/>
  <c r="V147" i="9"/>
  <c r="T147" i="9"/>
  <c r="N147" i="9"/>
  <c r="V146" i="9"/>
  <c r="T146" i="9"/>
  <c r="N146" i="9"/>
  <c r="V144" i="9"/>
  <c r="T144" i="9"/>
  <c r="N144" i="9"/>
  <c r="V142" i="9"/>
  <c r="T142" i="9"/>
  <c r="N142" i="9"/>
  <c r="V140" i="9"/>
  <c r="N140" i="9"/>
  <c r="H140" i="9"/>
  <c r="V139" i="9"/>
  <c r="N139" i="9"/>
  <c r="H139" i="9"/>
  <c r="V136" i="9"/>
  <c r="N136" i="9"/>
  <c r="H136" i="9"/>
  <c r="V132" i="9"/>
  <c r="T132" i="9"/>
  <c r="N132" i="9"/>
  <c r="V129" i="9"/>
  <c r="T129" i="9"/>
  <c r="N129" i="9"/>
  <c r="V128" i="9"/>
  <c r="T128" i="9"/>
  <c r="N128" i="9"/>
  <c r="V127" i="9"/>
  <c r="T127" i="9"/>
  <c r="N127" i="9"/>
  <c r="V124" i="9"/>
  <c r="T124" i="9"/>
  <c r="N124" i="9"/>
  <c r="T120" i="9"/>
  <c r="N120" i="9"/>
  <c r="H120" i="9"/>
  <c r="T119" i="9"/>
  <c r="N119" i="9"/>
  <c r="H119" i="9"/>
  <c r="T118" i="9"/>
  <c r="N118" i="9"/>
  <c r="H118" i="9"/>
  <c r="T117" i="9"/>
  <c r="N117" i="9"/>
  <c r="H117" i="9"/>
  <c r="T116" i="9"/>
  <c r="H116" i="9"/>
  <c r="T115" i="9"/>
  <c r="H115" i="9"/>
  <c r="H113" i="9"/>
  <c r="V111" i="9"/>
  <c r="T111" i="9"/>
  <c r="N111" i="9"/>
  <c r="V110" i="9"/>
  <c r="T110" i="9"/>
  <c r="N110" i="9"/>
  <c r="V108" i="9"/>
  <c r="T108" i="9"/>
  <c r="N108" i="9"/>
  <c r="V107" i="9"/>
  <c r="T107" i="9"/>
  <c r="V106" i="9"/>
  <c r="T106" i="9"/>
  <c r="N106" i="9"/>
  <c r="V105" i="9"/>
  <c r="T105" i="9"/>
  <c r="N105" i="9"/>
  <c r="T102" i="9"/>
  <c r="N102" i="9"/>
  <c r="H102" i="9"/>
  <c r="T100" i="9"/>
  <c r="N100" i="9"/>
  <c r="H100" i="9"/>
  <c r="T99" i="9"/>
  <c r="N99" i="9"/>
  <c r="H99" i="9"/>
  <c r="T98" i="9"/>
  <c r="N98" i="9"/>
  <c r="H98" i="9"/>
  <c r="T95" i="9"/>
  <c r="N95" i="9"/>
  <c r="T89" i="9"/>
  <c r="N89" i="9"/>
  <c r="H89" i="9"/>
  <c r="T88" i="9"/>
  <c r="N88" i="9"/>
  <c r="H88" i="9"/>
  <c r="U86" i="9"/>
  <c r="N86" i="9"/>
  <c r="H86" i="9"/>
  <c r="U84" i="9"/>
  <c r="H84" i="9"/>
  <c r="U83" i="9"/>
  <c r="N83" i="9"/>
  <c r="H83" i="9"/>
  <c r="N79" i="9"/>
  <c r="T78" i="9"/>
  <c r="N78" i="9"/>
  <c r="H78" i="9"/>
  <c r="V66" i="9"/>
  <c r="U66" i="9"/>
  <c r="T66" i="9"/>
  <c r="V60" i="9"/>
  <c r="U60" i="9"/>
  <c r="T60" i="9"/>
  <c r="N60" i="9"/>
  <c r="V59" i="9"/>
  <c r="U59" i="9"/>
  <c r="T59" i="9"/>
  <c r="N59" i="9"/>
  <c r="V58" i="9"/>
  <c r="U58" i="9"/>
  <c r="T58" i="9"/>
  <c r="N58" i="9"/>
  <c r="V57" i="9"/>
  <c r="U57" i="9"/>
  <c r="T57" i="9"/>
  <c r="N57" i="9"/>
  <c r="V56" i="9"/>
  <c r="U56" i="9"/>
  <c r="T56" i="9"/>
  <c r="N56" i="9"/>
  <c r="V51" i="9"/>
  <c r="U51" i="9"/>
  <c r="T51" i="9"/>
  <c r="B22" i="9"/>
  <c r="B21" i="9"/>
  <c r="B16" i="9"/>
  <c r="B23" i="8"/>
  <c r="B22" i="8"/>
  <c r="B17" i="8"/>
  <c r="B8" i="6"/>
  <c r="B7" i="6"/>
  <c r="B2" i="6"/>
  <c r="N14" i="1"/>
  <c r="K14" i="1"/>
  <c r="H14" i="1"/>
  <c r="E13" i="1"/>
  <c r="E11" i="1"/>
  <c r="E10" i="1"/>
  <c r="E9" i="1"/>
  <c r="E14" i="1" s="1"/>
  <c r="B9" i="1"/>
  <c r="B14" i="1" s="1"/>
</calcChain>
</file>

<file path=xl/sharedStrings.xml><?xml version="1.0" encoding="utf-8"?>
<sst xmlns="http://schemas.openxmlformats.org/spreadsheetml/2006/main" count="3208" uniqueCount="1595">
  <si>
    <t>OWM X BRANDSLAM</t>
  </si>
  <si>
    <t>총 계약건수</t>
  </si>
  <si>
    <t>총 업로드 건수</t>
  </si>
  <si>
    <t>총 조회수(샤오홍슈 30명 제외)</t>
  </si>
  <si>
    <t>총 좋아요 수</t>
  </si>
  <si>
    <t>총 댓글 수</t>
  </si>
  <si>
    <t>4월,5월 = 30건</t>
  </si>
  <si>
    <t>30건(영미권 성수15명, 이태원 15명)</t>
  </si>
  <si>
    <t>6월 = 61건</t>
  </si>
  <si>
    <t>61건(5지점 영미권 28명, 중국 33명)</t>
  </si>
  <si>
    <t>91건(메가5+미들86)</t>
  </si>
  <si>
    <t>91건(영미권 56명, 중국 30명)</t>
  </si>
  <si>
    <t>지점별 인원수</t>
  </si>
  <si>
    <t>지점별 업로드수</t>
  </si>
  <si>
    <t>지점별 조회수</t>
  </si>
  <si>
    <t>강남</t>
  </si>
  <si>
    <t>지점별 좋아요수</t>
  </si>
  <si>
    <t>지점별 댓글 수</t>
  </si>
  <si>
    <t>신사</t>
  </si>
  <si>
    <t>6월  |  5/5건 업로드 완료</t>
  </si>
  <si>
    <t xml:space="preserve">visit </t>
  </si>
  <si>
    <t>visit date</t>
  </si>
  <si>
    <t>방문시간</t>
  </si>
  <si>
    <t>name</t>
  </si>
  <si>
    <t>phonenumber</t>
  </si>
  <si>
    <t>tiktok</t>
  </si>
  <si>
    <t>따종디엔핑</t>
  </si>
  <si>
    <t>follower</t>
  </si>
  <si>
    <t>샤오홍슈</t>
  </si>
  <si>
    <t>insta</t>
  </si>
  <si>
    <t>이태원</t>
  </si>
  <si>
    <t>대행사</t>
  </si>
  <si>
    <t>visit confirm</t>
  </si>
  <si>
    <t>국가</t>
  </si>
  <si>
    <t>이름</t>
  </si>
  <si>
    <t>채널</t>
  </si>
  <si>
    <t>팔로워</t>
  </si>
  <si>
    <t>Content uploaded</t>
  </si>
  <si>
    <t>방문일</t>
  </si>
  <si>
    <t>업로드일</t>
  </si>
  <si>
    <t>upload date</t>
  </si>
  <si>
    <t>Upload date</t>
  </si>
  <si>
    <t>조회수</t>
  </si>
  <si>
    <t>저장수</t>
  </si>
  <si>
    <t>좋아요</t>
  </si>
  <si>
    <t>Posting URL (TT)</t>
  </si>
  <si>
    <t>URL</t>
  </si>
  <si>
    <t xml:space="preserve">Posting URL </t>
  </si>
  <si>
    <t>Views</t>
  </si>
  <si>
    <t>Likes♥</t>
  </si>
  <si>
    <t>Comments</t>
  </si>
  <si>
    <t>성수</t>
  </si>
  <si>
    <t>Saves</t>
  </si>
  <si>
    <t>code</t>
  </si>
  <si>
    <t>참고사항</t>
  </si>
  <si>
    <t>브랜드슬램</t>
  </si>
  <si>
    <t>영미권</t>
  </si>
  <si>
    <t>Oumaima Gouhmane</t>
  </si>
  <si>
    <t>북촌</t>
  </si>
  <si>
    <t>Bukchon Pharmacy</t>
  </si>
  <si>
    <t>인스타그램</t>
  </si>
  <si>
    <t>Posting URL (IG)</t>
  </si>
  <si>
    <t>10,000</t>
  </si>
  <si>
    <t>2026-06-10</t>
  </si>
  <si>
    <t>Views(IG)</t>
  </si>
  <si>
    <t>Likes♥(IG)</t>
  </si>
  <si>
    <t>Comments(IG)</t>
  </si>
  <si>
    <t>3,089</t>
  </si>
  <si>
    <t>Share</t>
  </si>
  <si>
    <t>—</t>
  </si>
  <si>
    <t>선정</t>
  </si>
  <si>
    <t>기간</t>
  </si>
  <si>
    <t>https://www.instagram.com/reel/DZmsOSWpDyk/</t>
  </si>
  <si>
    <t>종각</t>
  </si>
  <si>
    <t>자웬준</t>
  </si>
  <si>
    <t xml:space="preserve">Ayupova Samina </t>
  </si>
  <si>
    <t>+82 10 7980 0627</t>
  </si>
  <si>
    <t>총합</t>
  </si>
  <si>
    <t xml:space="preserve"> https://www.xiaohongshu.com/user/profile/5e1d8bb80000000001009999</t>
  </si>
  <si>
    <t>https://www.tiktok.com/@saminamina_07?_r=1&amp;_t=ZS-96uxa9N5u24</t>
  </si>
  <si>
    <t>Lim Lucie</t>
  </si>
  <si>
    <t>1,595</t>
  </si>
  <si>
    <t>2026-06-13</t>
  </si>
  <si>
    <t>https://www.instagram.com/reel/DZtKiXXzrOa/</t>
  </si>
  <si>
    <t>미업로드</t>
  </si>
  <si>
    <t>신사 중화권 메가 1명</t>
  </si>
  <si>
    <t>https://www.instagram.com/samina_the_mina?igsh=MWhwMmU2MXhuY2NtZw%3D%3D&amp;utm_source=qr</t>
  </si>
  <si>
    <t>http://xhslink.com/o/1PMSLXJ4uOK</t>
  </si>
  <si>
    <t>Aurora Schroeder</t>
  </si>
  <si>
    <t>30,800</t>
  </si>
  <si>
    <t>2026-06-17</t>
  </si>
  <si>
    <t>https://www.instagram.com/reel/DaDVMT_qIWB/</t>
  </si>
  <si>
    <t>https://www.tiktok.com/@saminamina_07/video/7649655873974881554?_r=1&amp;_t=ZS-96uxa9N5u24</t>
  </si>
  <si>
    <t>판위천</t>
  </si>
  <si>
    <t>https://www.xiaohongshu.com/user/profile/5ae95bfc11be1055eda62869</t>
  </si>
  <si>
    <t>중화권</t>
  </si>
  <si>
    <t>이 艺</t>
  </si>
  <si>
    <t>#+Aes1K6YqjhIlOa792jnMOrfnT/OYA+rnsMCl4ze56Cm0mJqw3Yw2Lxqa833+4k=  #ND4VhahlZ7MubBkMqugpoD0UHYZ6L7EOGmovfuGHRjFtOblbhMPPnThhNHEbWxs=</t>
  </si>
  <si>
    <t>11,200</t>
  </si>
  <si>
    <t>2026-06-27</t>
  </si>
  <si>
    <t>https://www.instagram.com/reel/DZZU5gmxw77/</t>
  </si>
  <si>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http://xhslink.com/o/1e2csEWTl2f</t>
    </r>
  </si>
  <si>
    <t xml:space="preserve"> http://xhslink.com/o/9qkH1fw31yg </t>
  </si>
  <si>
    <t>zhumeixi</t>
  </si>
  <si>
    <t>10,100</t>
  </si>
  <si>
    <t>2026-06-28</t>
  </si>
  <si>
    <t xml:space="preserve">2pm </t>
  </si>
  <si>
    <t xml:space="preserve">http://xhslink.com/o/9UB54z4zUAj </t>
  </si>
  <si>
    <t>Titha Monika Retno</t>
  </si>
  <si>
    <t>01066419815</t>
  </si>
  <si>
    <t>신신</t>
  </si>
  <si>
    <t>https://www.tiktok.com/@titha.monika?_r=1&amp;_t=ZS-96s1PTRdBc9</t>
  </si>
  <si>
    <t>https://www.xiaohongshu.com/user/profile/68bd11f600000000190126e4</t>
  </si>
  <si>
    <t>6월  |  8/8건 업로드 완료</t>
  </si>
  <si>
    <t>https://www.instagram.com/tithamonika?igsh=MXptcXJoYTlidHl3&amp;utm_source=qr</t>
  </si>
  <si>
    <t>https://www.xiaohongshu.com/discovery/item/6a431f47000000001503e1af?source=webshare&amp;xhsshare=pc_web&amp;xsec_token=ABvJ7CZxFOEXlNF7Ima6jgXDWLE0hrqZow4YYBruxTahs=&amp;xsec_source=pc_share</t>
  </si>
  <si>
    <t>Ayupova Samina</t>
  </si>
  <si>
    <t>틱톡</t>
  </si>
  <si>
    <t>3,873</t>
  </si>
  <si>
    <t>2026-06-05</t>
  </si>
  <si>
    <t>422</t>
  </si>
  <si>
    <t>1</t>
  </si>
  <si>
    <t>26</t>
  </si>
  <si>
    <t>https://www.instagram.com/reel/DZdwA7gPpdo/</t>
  </si>
  <si>
    <t xml:space="preserve">around 3-4pm </t>
  </si>
  <si>
    <t>Jessica Liarda Szilvia Kustos</t>
  </si>
  <si>
    <t>+82 1025111184</t>
  </si>
  <si>
    <t>https://www.tiktok.com/@itsmyseoullife?_r=1&amp;_t=ZS-9503VuDaPmX</t>
  </si>
  <si>
    <t>조가남</t>
  </si>
  <si>
    <t>http://dpurl.cn/wKiI2n0z</t>
  </si>
  <si>
    <t>25,800</t>
  </si>
  <si>
    <t>1,501</t>
  </si>
  <si>
    <t>https://www.instagram.com/myseoullife.yt/</t>
  </si>
  <si>
    <t xml:space="preserve"> https://www.xiaohongshu.com/user/profile/680a781e000000000d00b994</t>
  </si>
  <si>
    <t>4,260</t>
  </si>
  <si>
    <t>2026-06-06</t>
  </si>
  <si>
    <t>2026-06-11</t>
  </si>
  <si>
    <t>346</t>
  </si>
  <si>
    <t>https://www.tiktok.com/@itsmyseoullife/video/7650069357443157268?_r=1&amp;_t=ZS-9503VuDaPmX</t>
  </si>
  <si>
    <t>12</t>
  </si>
  <si>
    <t>#5+7YaaEVQAbL2y+UaDpuzb8mvV0dRwqHo/dV8OOp4ZBRA4TPs3QUvhmhYqCgm7c=</t>
  </si>
  <si>
    <t>https://www.instagram.com/reel/DZcNs6mPhVg/</t>
  </si>
  <si>
    <t>Erica Scorohod</t>
  </si>
  <si>
    <t>27,000</t>
  </si>
  <si>
    <t>2026-06-08</t>
  </si>
  <si>
    <t>2026-06-22</t>
  </si>
  <si>
    <t>500</t>
  </si>
  <si>
    <t>156</t>
  </si>
  <si>
    <t>https://www.tiktok.com/@erica.scoro/video/7654023475627052309?_r=1&amp;_t=ZS-96rqAsToYpV</t>
  </si>
  <si>
    <t>왕가</t>
  </si>
  <si>
    <t>https://m.dianping.com/feeddetail/3322833655?sceneType=1&amp;bizType=1&amp;utm_source=ugcshare&amp;msource=Appshare2021&amp;utm_medium=h5&amp;shareid=aD2iIHlgKd_1782783346</t>
  </si>
  <si>
    <t>13:00</t>
  </si>
  <si>
    <t>Alice Tsedrik</t>
  </si>
  <si>
    <t>47,600</t>
  </si>
  <si>
    <t>394</t>
  </si>
  <si>
    <t>5</t>
  </si>
  <si>
    <t>https://www.tiktok.com/@wondralice/video/7650894454072757524?_r=1&amp;_t=ZS-96p1y8OVIma</t>
  </si>
  <si>
    <t>https://www.tiktok.com/@erica.scoro?_r=1&amp;_t=ZS-96rqAsToYpV</t>
  </si>
  <si>
    <t>https://www.xiaohongshu.com/user/profile/65560b9600000000020347c1</t>
  </si>
  <si>
    <t>Jacqueline San Jose</t>
  </si>
  <si>
    <t>6,412</t>
  </si>
  <si>
    <t>2,130</t>
  </si>
  <si>
    <t>2</t>
  </si>
  <si>
    <t>45</t>
  </si>
  <si>
    <t>https://www.instagram.com/reel/DZr8dF9TmHf/</t>
  </si>
  <si>
    <t>https://www.instagram.com/erica.scoro?igsh=a280MjlwOHB0ZzF1&amp;utm_source=qr</t>
  </si>
  <si>
    <t xml:space="preserve">http://xhslink.com/o/7mL1NSWyWzE </t>
  </si>
  <si>
    <t>Ellisa Hidayat</t>
  </si>
  <si>
    <t>1,832</t>
  </si>
  <si>
    <t>2026-06-21</t>
  </si>
  <si>
    <t>https://vt.tiktok.com/ZSC7U79K5/</t>
  </si>
  <si>
    <t>yileen</t>
  </si>
  <si>
    <t>https://www.xiaohongshu.com/user/profile/6347c12d000000001802d64f</t>
  </si>
  <si>
    <t>Callista Chrysilla</t>
  </si>
  <si>
    <t>6개월 40만원</t>
  </si>
  <si>
    <t>999</t>
  </si>
  <si>
    <t>https://www.instagram.com/reel/DZrfC_HT_M7/</t>
  </si>
  <si>
    <t>https://www.tiktok.com/@tracesofcal/video/7655485432431512850?_r=1&amp;_t=ZS-96utzO0kKhA</t>
  </si>
  <si>
    <t>http://xhslink.com/o/2nuAvGbRIzz</t>
  </si>
  <si>
    <t>인스타오류로 코드 제공불가</t>
  </si>
  <si>
    <t xml:space="preserve">Alice Tsedrik </t>
  </si>
  <si>
    <t>하동동</t>
  </si>
  <si>
    <t>https://www.tiktok.com/@wondralice?_r=1&amp;_t=ZS-96p1y8OVIma</t>
  </si>
  <si>
    <t xml:space="preserve"> https://www.xiaohongshu.com/user/profile/636f968c0000000023025ea5</t>
  </si>
  <si>
    <t>4월  |  10/10건 업로드 완료</t>
  </si>
  <si>
    <t>https://www.instagram.com/wondralice?igsh=eTMybmIxbm45cDl3&amp;utm_source=qr</t>
  </si>
  <si>
    <t>http://xhslink.com/o/28j8WT93DOf</t>
  </si>
  <si>
    <t>조이</t>
  </si>
  <si>
    <t>Martineau lois</t>
  </si>
  <si>
    <t xml:space="preserve"> https://www.xiaohongshu.com/user/profile/64a3e77d000000000b017abd</t>
  </si>
  <si>
    <t>2026-04-04</t>
  </si>
  <si>
    <t>2026-04-16</t>
  </si>
  <si>
    <t>311</t>
  </si>
  <si>
    <t>6</t>
  </si>
  <si>
    <t>https://vt.tiktok.com/ZSHWoP3W7/</t>
  </si>
  <si>
    <t>Ovcharuk Anna</t>
  </si>
  <si>
    <t>2026-04-05</t>
  </si>
  <si>
    <t>https://www.instagram.com/reel/DZtmB9LNaq_/</t>
  </si>
  <si>
    <t>2026-04-09</t>
  </si>
  <si>
    <t>990</t>
  </si>
  <si>
    <t>21</t>
  </si>
  <si>
    <t>https://www.xiaohongshu.com/discovery/item/6a435c30000000002103d02c?source=webshare&amp;xhsshare=pc_web&amp;xsec_token=CBOTY6_VUBvZEuGQM-g1Xv_AY8JscFO_rvxkJ00YKdu1o=&amp;xsec_source=pc_share</t>
  </si>
  <si>
    <t>https://vt.tiktok.com/ZSHxN1LpT/</t>
  </si>
  <si>
    <t>Kliatskaia Anna</t>
  </si>
  <si>
    <t>2026-04-06</t>
  </si>
  <si>
    <t>2026-04-10</t>
  </si>
  <si>
    <t>418</t>
  </si>
  <si>
    <t>22</t>
  </si>
  <si>
    <t>N/A</t>
  </si>
  <si>
    <t>https://vt.tiktok.com/ZSHQBXyJv/</t>
  </si>
  <si>
    <t>6개월 30만원</t>
  </si>
  <si>
    <t>Ivasko Agata</t>
  </si>
  <si>
    <t>https://www.tiktok.com/@jackiesanjose</t>
  </si>
  <si>
    <t>2026-04-15</t>
  </si>
  <si>
    <t>833</t>
  </si>
  <si>
    <t>34</t>
  </si>
  <si>
    <t>https://vt.tiktok.com/ZSHG5PS8c/</t>
  </si>
  <si>
    <t>키티</t>
  </si>
  <si>
    <t>https://m.dianping.com/feeddetail/3326605535?sceneType=0&amp;bizType=1&amp;utm_source=ugcshare&amp;msource=Appshare2021&amp;utm_medium=h5&amp;shareid=4GMCll95UY_1782979296969</t>
  </si>
  <si>
    <t>Nizeyimana Fine Laurence</t>
  </si>
  <si>
    <t>2026-04-07</t>
  </si>
  <si>
    <t>538</t>
  </si>
  <si>
    <t>8</t>
  </si>
  <si>
    <t>27</t>
  </si>
  <si>
    <t>https://vt.tiktok.com/ZSHtChN3A/</t>
  </si>
  <si>
    <t>https://www.instagram.com/jackievistosa/</t>
  </si>
  <si>
    <t>Naomi Oforiokuma</t>
  </si>
  <si>
    <t>2026-04-08</t>
  </si>
  <si>
    <t>2,085</t>
  </si>
  <si>
    <t>30</t>
  </si>
  <si>
    <t>97</t>
  </si>
  <si>
    <t>https://vt.tiktok.com/ZSHvN9MKF/</t>
  </si>
  <si>
    <t>https://www.xiaohongshu.com/user/profile/695f150100000000030117b2</t>
  </si>
  <si>
    <t>https://www.tiktok.com/@jackiesanjose/video/7652338575047937310</t>
  </si>
  <si>
    <t>Gianna Lee</t>
  </si>
  <si>
    <t>2,205</t>
  </si>
  <si>
    <t>31</t>
  </si>
  <si>
    <t>61</t>
  </si>
  <si>
    <t>https://www.tiktok.com/@bygiannalee/video/7628671526413356308</t>
  </si>
  <si>
    <t>Joan Cultura</t>
  </si>
  <si>
    <t>2026-04-28</t>
  </si>
  <si>
    <t>#nUBtQvqytoR03r2sBlSMbv//CZztv7GGGE86CZbkyBC5NeAg4RjS+2anVy9G/Yw=</t>
  </si>
  <si>
    <t>307</t>
  </si>
  <si>
    <t>16</t>
  </si>
  <si>
    <t>https://www.tiktok.com/@.joan__/video/7633634902382087445?_r=1&amp;_t=ZS-8wUeIBpusyX</t>
  </si>
  <si>
    <t>Chelsie Alquinto</t>
  </si>
  <si>
    <t>2026-04-11</t>
  </si>
  <si>
    <t>2026-04-18</t>
  </si>
  <si>
    <t>979</t>
  </si>
  <si>
    <t>58</t>
  </si>
  <si>
    <t>https://www.tiktok.com/@chelsieyoo/video/7630037270581628167?_r=1&amp;_t=ZS-94vHn3iFxQe</t>
  </si>
  <si>
    <t>adcode-Q9jTBBWee_CDJIQlfBhC2dCpTeK-V-iI9ULiM0ojNJZ9qU-TDBwpymwz7t3nVxBt4uw</t>
  </si>
  <si>
    <t>OWM 신사점 방문 메가 인플루언서</t>
  </si>
  <si>
    <t>26-06-25~26-12-25</t>
  </si>
  <si>
    <t xml:space="preserve">http://xhslink.com/o/9YAE2toWljO </t>
  </si>
  <si>
    <t>Marika Sassanelli</t>
  </si>
  <si>
    <t>14:00</t>
  </si>
  <si>
    <t>2026-04-12</t>
  </si>
  <si>
    <t>2026-04-29</t>
  </si>
  <si>
    <t>284</t>
  </si>
  <si>
    <t>0</t>
  </si>
  <si>
    <t>+82 1076583947</t>
  </si>
  <si>
    <t>7</t>
  </si>
  <si>
    <t>Target audience</t>
  </si>
  <si>
    <t>https://www.tiktok.com/@tracesofcal?_r=1&amp;_t=ZS-96utzO0kKhA</t>
  </si>
  <si>
    <t>https://vm.tiktok.com/ZNRgNm7wT/</t>
  </si>
  <si>
    <t>도우인</t>
  </si>
  <si>
    <t>웨이보</t>
  </si>
  <si>
    <t>Bilibili</t>
  </si>
  <si>
    <t>방문가능 일자</t>
  </si>
  <si>
    <t>6/30 이태원점 방문(바데카실4개 수령 완료)</t>
  </si>
  <si>
    <t>방문 시간</t>
  </si>
  <si>
    <t>https://www.instagram.com/callista_chrysilla?utm_source=qr</t>
  </si>
  <si>
    <t>임지윤</t>
  </si>
  <si>
    <t>http://dpurl.cn/rIcU6e3z</t>
  </si>
  <si>
    <t>Spark ads</t>
  </si>
  <si>
    <t>pada_heli</t>
  </si>
  <si>
    <t>미국, 이란</t>
  </si>
  <si>
    <t>https://www.instagram.com/pada_heli/</t>
  </si>
  <si>
    <t>https://www.xiaohongshu.com/user/profile/6843a7f40000000008038c14</t>
  </si>
  <si>
    <t>https://www.tiktok.com/@pada_heli?_r=1&amp;_t=ZS-96qSehG7s3R</t>
  </si>
  <si>
    <t>5월  |  5/5건 업로드 완료</t>
  </si>
  <si>
    <t>http://xhslink.com/o/AJwU2e7NAIi</t>
  </si>
  <si>
    <t>https://www.instagram.com/reel/DaBy1BXSitu/</t>
  </si>
  <si>
    <t>13시30~14시30</t>
  </si>
  <si>
    <t>https://www.instagram.com/reel/DanWmjJz66J/</t>
  </si>
  <si>
    <t xml:space="preserve">Su Bing </t>
  </si>
  <si>
    <t xml:space="preserve"> https://www.xiaohongshu.com/user/profile/609e2c53000000000101e240?xhsshare=CopyLink&amp;appuid=5dfca3bf0000000001001ac1&amp;apptime=1719396234</t>
  </si>
  <si>
    <t>Andriushchenko Daria</t>
  </si>
  <si>
    <t>2026-05-01</t>
  </si>
  <si>
    <t>2026-05-08</t>
  </si>
  <si>
    <t>339</t>
  </si>
  <si>
    <t>18</t>
  </si>
  <si>
    <t>https://www.tiktok.com/@child_of_abraxas/video/7637172719280295189?_r=1&amp;_t=ZS-95uFnqNZwVJ</t>
  </si>
  <si>
    <t>+821065189252</t>
  </si>
  <si>
    <t>youronlyjen</t>
  </si>
  <si>
    <t>https://www.tiktok.com/@springlythings</t>
  </si>
  <si>
    <t>미국, 대만</t>
  </si>
  <si>
    <t>https://www.instagram.com/jenniferwohner/reels/</t>
  </si>
  <si>
    <t>이소연</t>
  </si>
  <si>
    <t>2026-05-04</t>
  </si>
  <si>
    <t>2026-05-11</t>
  </si>
  <si>
    <t>1,047</t>
  </si>
  <si>
    <t>https://www.tiktok.com/@irisoyeon_/video/7638646355627560212?_r=1&amp;_t=ZS-95ty8mvQ94u</t>
  </si>
  <si>
    <t>https://www.tiktok.com/@youronlyjen</t>
  </si>
  <si>
    <t>Atri Chatterjee</t>
  </si>
  <si>
    <t>https://instagram.com/ellisachen</t>
  </si>
  <si>
    <t>2026-05-07</t>
  </si>
  <si>
    <t>http://xhslink.com/o/4aY9xA4yS81</t>
  </si>
  <si>
    <t>2026-05-14</t>
  </si>
  <si>
    <t>1,039</t>
  </si>
  <si>
    <t>10</t>
  </si>
  <si>
    <t>42</t>
  </si>
  <si>
    <t>https://vm.tiktok.com/ZNRGXeBwr/</t>
  </si>
  <si>
    <t>https://www.tiktok.com/@youronlyjen/video/7659335224488168726</t>
  </si>
  <si>
    <t>Baerlund Julia Anna Nathalia</t>
  </si>
  <si>
    <t>2026. 5. 8</t>
  </si>
  <si>
    <t>2026-05-19</t>
  </si>
  <si>
    <t>2,068</t>
  </si>
  <si>
    <t>https://www.instagram.com/reel/Dacgk8qTS-n/</t>
  </si>
  <si>
    <t>https://www.tiktok.com/@seoulissa/video/7641275750527618325?fbclid=PAZXh0bgNhZW0CMTEAc3J0YwZhcHBfaWQPOTM2NjE5NzQzMzkyNDU5AAGnsuya0zdcLMsgUBuoKbN0d0yTuup9MYFD_zvvWCf_oIsI3XgfTypBCynexls_aem_8gBn81QfU5QX00kl1MW4Bg</t>
  </si>
  <si>
    <t xml:space="preserve">Shi Qing </t>
  </si>
  <si>
    <t>https://www.xiaohongshu.com/user/profile/572ec23c50c4b45db2970191?xhsshare=CopyLink&amp;appuid=5ea8e6570000000001001552&amp;apptime=1665814878</t>
  </si>
  <si>
    <t>Natasha Amiri</t>
  </si>
  <si>
    <t>2026-05-20</t>
  </si>
  <si>
    <t>홍수아</t>
  </si>
  <si>
    <t>1,129</t>
  </si>
  <si>
    <t>중국</t>
  </si>
  <si>
    <t>https://www.instagram.com/reel/DYvfkeBSV7P/</t>
  </si>
  <si>
    <t>https://v.douyin.com/3FudedjtOJM/</t>
  </si>
  <si>
    <t>https://www.instagram.com/reel/DaQFuJwSOiO/?igsh=MTA1eTZzdTByNmkyeA==</t>
  </si>
  <si>
    <t xml:space="preserve"> </t>
  </si>
  <si>
    <t>15시~</t>
  </si>
  <si>
    <t>https://v.douyin.com/yuA8YwBhnHU/</t>
  </si>
  <si>
    <t>6월  |  2/5건 업로드 완료</t>
  </si>
  <si>
    <r>
      <rPr>
        <u/>
        <sz val="10"/>
        <color rgb="FF1155CC"/>
        <rFont val="Arial"/>
        <family val="2"/>
      </rPr>
      <t>https://www.xiaohongshu.com/discovery/item/6a45c020000000001101c0dd?source=webshare&amp;xhsshare=pc_web&amp;xsec_token=CBgEK-PEIs2cTbXBNLLfcb9lJN_ej64cTU41bEeHRC5js=&amp;xsec_source=pc_share</t>
    </r>
    <r>
      <rPr>
        <sz val="10"/>
        <rFont val="Arial"/>
        <family val="2"/>
      </rPr>
      <t>e</t>
    </r>
  </si>
  <si>
    <t>리즈</t>
  </si>
  <si>
    <t>https://v.douyin.com/oUmTXraGpH0/</t>
  </si>
  <si>
    <t>Khegay Alexandra</t>
  </si>
  <si>
    <t>1,321</t>
  </si>
  <si>
    <t>2026-06-15</t>
  </si>
  <si>
    <t>https://weibo.com/u/5042468475</t>
  </si>
  <si>
    <t>569</t>
  </si>
  <si>
    <t>17</t>
  </si>
  <si>
    <t>https://www.tiktok.com/@alexa.kkh/video/7651498792612662546?_r=1&amp;_t=ZS-96onPDfAsBb</t>
  </si>
  <si>
    <t>Jabulile Sopete</t>
  </si>
  <si>
    <t>14,000</t>
  </si>
  <si>
    <t>2026-06-14</t>
  </si>
  <si>
    <t>Seongsu Pharmacy</t>
  </si>
  <si>
    <t>2026-06-23</t>
  </si>
  <si>
    <t>976</t>
  </si>
  <si>
    <t>100</t>
  </si>
  <si>
    <t>https://www.tiktok.com/@jabu_sopete/video/7654168173125700872?_r=1&amp;_t=ZS-96rjs45Vph7</t>
  </si>
  <si>
    <t>https://xhslink.com/m/3jvwcn1hSjF</t>
  </si>
  <si>
    <t>Wilczynska Katarzyna</t>
  </si>
  <si>
    <t>10,300</t>
  </si>
  <si>
    <t>2026-06-19</t>
  </si>
  <si>
    <t>17:00</t>
  </si>
  <si>
    <t>+82 1039108411</t>
  </si>
  <si>
    <t>https://www.tiktok.com/@alexa.kkh?_r=1&amp;_t=ZS-96onPDfAsBb</t>
  </si>
  <si>
    <t>https://b23.tv/2EnVi2W</t>
  </si>
  <si>
    <t xml:space="preserve">웨이보: https://weibo.com/5042468475/5315986862646498
도우인:  https://v.douyin.com/aiftvAHxCW4/ i@c.aN :9pm 02/29 aAt:/  
샤오홍슈: http://xhslink.com/o/39wb3zh2hmd 
Bilibili : https://b23.tv/Y48pB6E </t>
  </si>
  <si>
    <t>https://www.instagram.com/alexandra__kh?igsh=MXJ4dG4wdzNwZTEzMw%3D%3D&amp;utm_source=qr</t>
  </si>
  <si>
    <t>jenny_L</t>
  </si>
  <si>
    <t>지나</t>
  </si>
  <si>
    <t>https://xhslink.com/m/6frjyHTir2S</t>
  </si>
  <si>
    <t>@JENNY.L received 31.2K likes and saves on rednote，visit the profile&gt;&gt; https://xhslink.com/m/9iIItfMftBn</t>
  </si>
  <si>
    <t>8,177</t>
  </si>
  <si>
    <t>https://www.xiaohongshu.com/discovery/item/6a3a8bba000000000d00bc00?source=webshare&amp;xhsshare=pc_web&amp;xsec_token=ABsZWIhoc01cLCDkTmH_0ySEejhGak0UPj-y0it6p_Cy0=&amp;xsec_source=pc_share</t>
  </si>
  <si>
    <t>류이수</t>
  </si>
  <si>
    <t>https://m.dianping.com/feeddetail/3314527325?sceneType=1&amp;bizType=1&amp;utm_source=ugcshare&amp;msource=Appshare2021&amp;utm_medium=h5&amp;shareid=tM4YkLk8LF_1784037921</t>
  </si>
  <si>
    <t>#YjTaVrLo9NhAonDoibfr9Db2/0TMywy3cBse1fMY9Nw8S/WR7Ip6Nle/txARWYY=</t>
  </si>
  <si>
    <t>10,400</t>
  </si>
  <si>
    <t>2026-06-24</t>
  </si>
  <si>
    <t xml:space="preserve"> http://xhslink.com/o/3YGAVIkgHMd</t>
  </si>
  <si>
    <t>Phone number</t>
  </si>
  <si>
    <t>TikTok</t>
  </si>
  <si>
    <t>Instagram</t>
  </si>
  <si>
    <t>방문확인</t>
  </si>
  <si>
    <t>https://www.tiktok.com/@jabu_sopete?_r=1&amp;_t=ZS-96rjs45Vph7</t>
  </si>
  <si>
    <t>Saves(IG)</t>
  </si>
  <si>
    <t>6월  |  4/4건 업로드 완료</t>
  </si>
  <si>
    <t>@君在韩国 received 161.4K likes and saves on rednote，visit the profile&gt;&gt; https://xhslink.com/m/6F7IwFyDorT</t>
  </si>
  <si>
    <t>https://www.instagram.com/lois_lee_lois_nail?igsh=MWU2bGxjOTRzc3h2Ng%3D%3D&amp;utm_source=qr</t>
  </si>
  <si>
    <t>https://www.instagram.com/jabu_sopete?igsh=YnJoNnhlMmFndnAw&amp;utm_source=qr</t>
  </si>
  <si>
    <t>2026-06-25</t>
  </si>
  <si>
    <t>예정</t>
  </si>
  <si>
    <t>Huangxueting</t>
  </si>
  <si>
    <t xml:space="preserve"> https://www.xiaohongshu.com/user/profile/604b63a300000000010035c6</t>
  </si>
  <si>
    <t>https://www.instagram.com/reel/DXMafFACg7J/?igsh=b2dzejFpc250NWh2</t>
  </si>
  <si>
    <t>https://www.xiaohongshu.com/discovery/item/6a44ef4b0000000015026ba9?source=webshare&amp;xhsshare=pc_web&amp;xsec_token=CB5bxGdqd35-rvFa24Tzc9Bqrss7BJgxUnuKxY3RKBn6Y=&amp;xsec_source=pc_share</t>
  </si>
  <si>
    <t>3월  |  7/7건 업로드 완료</t>
  </si>
  <si>
    <t>-</t>
  </si>
  <si>
    <t>Helen Bay</t>
  </si>
  <si>
    <t>2026-03-28</t>
  </si>
  <si>
    <t>2026-03-31</t>
  </si>
  <si>
    <t>1,766</t>
  </si>
  <si>
    <t>15</t>
  </si>
  <si>
    <t>55</t>
  </si>
  <si>
    <t>https://www.tiktok.com/@.heeeelen/video/7623415364386327830?_r=1&amp;_t=ZN-95A6geVjd1q</t>
  </si>
  <si>
    <t>Divya Prashant Armarkar</t>
  </si>
  <si>
    <t>2026-04-01</t>
  </si>
  <si>
    <t>1,156</t>
  </si>
  <si>
    <t>25</t>
  </si>
  <si>
    <t>https://vt.tiktok.com/ZSHjxQAX8/</t>
  </si>
  <si>
    <t>Sofia Lopes de Carvalho</t>
  </si>
  <si>
    <t>2026-04-02</t>
  </si>
  <si>
    <t>305</t>
  </si>
  <si>
    <t>9</t>
  </si>
  <si>
    <t>https://vt.tiktok.com/ZGdutFXkr/</t>
  </si>
  <si>
    <t>Changho Lee</t>
  </si>
  <si>
    <t>2026-03-29</t>
  </si>
  <si>
    <t>2,902</t>
  </si>
  <si>
    <t>44</t>
  </si>
  <si>
    <t>96</t>
  </si>
  <si>
    <t>https://www.tiktok.com/@oreo..leo/video/7622598230169160978?is_from_webapp=1&amp;sender_device=pc&amp;web_id=7599666610312627729</t>
  </si>
  <si>
    <t>Deborah Raarup</t>
  </si>
  <si>
    <t>Gangnam Pharmacy</t>
  </si>
  <si>
    <t>2,216</t>
  </si>
  <si>
    <t>57</t>
  </si>
  <si>
    <t>113</t>
  </si>
  <si>
    <t>https://www.tiktok.com/t/ZTkkTxdsD/</t>
  </si>
  <si>
    <t>Nesterova Anastasia</t>
  </si>
  <si>
    <t>2026-03-30</t>
  </si>
  <si>
    <t xml:space="preserve"> https://www.xiaohongshu.com/user/profile/59b2c63d5e87e7386e54934b</t>
  </si>
  <si>
    <t>151</t>
  </si>
  <si>
    <t>3</t>
  </si>
  <si>
    <t>https://vt.tiktok.com/ZSHDacKnd/</t>
  </si>
  <si>
    <t>Elvera Maulida</t>
  </si>
  <si>
    <t>2026-04-13</t>
  </si>
  <si>
    <t>309</t>
  </si>
  <si>
    <t>https://www.tiktok.com/@verael_121/video/7628210197760183573</t>
  </si>
  <si>
    <t>4월  |  13/13건 업로드 완료</t>
  </si>
  <si>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http://xhslink.com/o/1e2csEWTl2f</t>
    </r>
  </si>
  <si>
    <t>Nihal Messaoudi</t>
  </si>
  <si>
    <t>2026-04-03</t>
  </si>
  <si>
    <t>719</t>
  </si>
  <si>
    <t>https://vm.tiktok.com/ZGdu3LS6J/</t>
  </si>
  <si>
    <t>Kim Grace</t>
  </si>
  <si>
    <t>주혜나</t>
  </si>
  <si>
    <t>2026-04-27</t>
  </si>
  <si>
    <t>421</t>
  </si>
  <si>
    <t>13</t>
  </si>
  <si>
    <t>https://www.tiktok.com/@koreabygrace/video/7633404521720352018</t>
  </si>
  <si>
    <t xml:space="preserve"> https://www.xiaohongshu.com/user/profile/577b0bfb5e87e711132f0a3d</t>
  </si>
  <si>
    <t>Melissa Limes</t>
  </si>
  <si>
    <t>942</t>
  </si>
  <si>
    <t>77</t>
  </si>
  <si>
    <t>https://www.tiktok.com/@melissalimes/video/7637140799590812949</t>
  </si>
  <si>
    <t>Ana Claudinne Olivas</t>
  </si>
  <si>
    <t>9,070</t>
  </si>
  <si>
    <t>29</t>
  </si>
  <si>
    <t>839</t>
  </si>
  <si>
    <t>https://www.tiktok.com/@itsanaolivas/video/7635960715538337042?_r=1&amp;_t=ZS-95wBNlnzXOs</t>
  </si>
  <si>
    <t>Ren Curry</t>
  </si>
  <si>
    <t>2026-04-30</t>
  </si>
  <si>
    <t>https://www.tiktok.com/@annet.krist?_r=1&amp;_t=ZS-94x2X42IxSH</t>
  </si>
  <si>
    <t>505</t>
  </si>
  <si>
    <t>40</t>
  </si>
  <si>
    <t>https://www.tiktok.com/@renderella4real/video/7636033162614721799?_r=1&amp;_t=ZS-95v2oBbBnoS</t>
  </si>
  <si>
    <t>https://www.xiaohongshu.com/discovery/item/6a3f9d700000000021022c35?source=webshare&amp;xhsshare=pc_web&amp;xsec_token=ABxCfwww6dPYKfVLdSWGVP9n89XOW4VKm0Gg6yAzvn4iM=&amp;xsec_source=pc_share</t>
  </si>
  <si>
    <t>5월  |  3/3건 업로드 완료</t>
  </si>
  <si>
    <t>2차 활용 불가</t>
  </si>
  <si>
    <t>https://www.instagram.com/reel/DZ4mrvyzj03/</t>
  </si>
  <si>
    <t>https://www.instagram.com/reel/DW6SHTSD7lS/?igsh=MTdkMHh4MngxN2N0cw==</t>
  </si>
  <si>
    <t xml:space="preserve">   https://www.xiaohongshu.com/user/profile/604b63a300000000010035c6</t>
  </si>
  <si>
    <t>Tan Hooi Wem</t>
  </si>
  <si>
    <t>2026-05-09</t>
  </si>
  <si>
    <t>828</t>
  </si>
  <si>
    <t>32</t>
  </si>
  <si>
    <t>https://www.instagram.com/p/DYGXeySvCRv/</t>
  </si>
  <si>
    <t>#yKS6x2l38d5B4r/5EFVbKlk7NbfeF2npq06ONcwywyWbEzOL3bMwq9WoxhZFxys=</t>
  </si>
  <si>
    <t>Maria Lukianova</t>
  </si>
  <si>
    <t>2026. 5.13</t>
  </si>
  <si>
    <t>2026-05-18</t>
  </si>
  <si>
    <t>302</t>
  </si>
  <si>
    <t>https://vt.tiktok.com/ZSx2VQPpe/</t>
  </si>
  <si>
    <t>RENBLAD VICTORIA MARIE</t>
  </si>
  <si>
    <t>2026. 5.15</t>
  </si>
  <si>
    <t>286</t>
  </si>
  <si>
    <t>Suu Lae Yee</t>
  </si>
  <si>
    <t>https://www.instagram.com/anyaklyackaya?igsh=MXhtNDU5YzQ4ZWx2Yg%3D%3D&amp;utm_source=qr</t>
  </si>
  <si>
    <t>https://www.tiktok.com/@victoriarenblad/video/7641977526822145302?_r=1&amp;_t=ZN-95yxwAN8Eze</t>
  </si>
  <si>
    <t>Jonggak Pharmacy</t>
  </si>
  <si>
    <t>6월  |  9/9건 업로드 완료</t>
  </si>
  <si>
    <t>19시</t>
  </si>
  <si>
    <t>한아</t>
  </si>
  <si>
    <t xml:space="preserve"> https://www.xiaohongshu.com/user/profile/618680b000000000100093b6</t>
  </si>
  <si>
    <t>+82 1021778213</t>
  </si>
  <si>
    <t>Virginia Marlo Long</t>
  </si>
  <si>
    <t>1,043</t>
  </si>
  <si>
    <t>2026-06-07</t>
  </si>
  <si>
    <t>1,354</t>
  </si>
  <si>
    <t xml:space="preserve">http://xhslink.com/o/zZ1MnATaov </t>
  </si>
  <si>
    <t>49</t>
  </si>
  <si>
    <t>https://vt.tiktok.com/ZSQ2VEnTc/</t>
  </si>
  <si>
    <t>https://www.tiktok.com/@suulysly?_r=1&amp;_t=ZS-96rpMVN5bjp</t>
  </si>
  <si>
    <t>https://www.instagram.com/reel/DW9CPOZE7EY/</t>
  </si>
  <si>
    <t>Marzia Amitrano</t>
  </si>
  <si>
    <t>8,771</t>
  </si>
  <si>
    <t>1,136</t>
  </si>
  <si>
    <t>https://vt.tiktok.com/ZNRvh7tp1/</t>
  </si>
  <si>
    <t>Lola Houques</t>
  </si>
  <si>
    <t>6,856</t>
  </si>
  <si>
    <t>1,597</t>
  </si>
  <si>
    <t>131</t>
  </si>
  <si>
    <t>https://www.tiktok.com/@lolahouques/video/7651206584441343265?_r=1&amp;_t=ZN-96pFAlBji46</t>
  </si>
  <si>
    <t>Chiesa lise</t>
  </si>
  <si>
    <t>adcode-Q9jTBBML3wN7KRUJuvUyxVYyR1vDBL4-th1eQRx23tpq3rH5PfliHJNdAwaItimVcXQ</t>
  </si>
  <si>
    <t>11,000</t>
  </si>
  <si>
    <t>https://www.instagram.com/_suulaeyee_?utm_source=qr</t>
  </si>
  <si>
    <t>고주원</t>
  </si>
  <si>
    <t>2026-06-09</t>
  </si>
  <si>
    <t>490</t>
  </si>
  <si>
    <t xml:space="preserve"> https://www.xiaohongshu.com/user/profile/5d4ea8360000000010011794</t>
  </si>
  <si>
    <t>11</t>
  </si>
  <si>
    <t>https://www.tiktok.com/@its.lili.cious/video/7650033267659312404</t>
  </si>
  <si>
    <t>https://www.tiktok.com/@agata0710</t>
  </si>
  <si>
    <t>Liubov Kurpatenkova</t>
  </si>
  <si>
    <t>71,000</t>
  </si>
  <si>
    <t>2026-06-12</t>
  </si>
  <si>
    <t>33,900</t>
  </si>
  <si>
    <t>523</t>
  </si>
  <si>
    <t>https://www.instagram.com/reel/DZq4WfcTJp-/</t>
  </si>
  <si>
    <t>Kunwar Reshma</t>
  </si>
  <si>
    <t>794</t>
  </si>
  <si>
    <t>1,119</t>
  </si>
  <si>
    <t>104</t>
  </si>
  <si>
    <t>https://vt.tiktok.com/ZSQnbXTtr/</t>
  </si>
  <si>
    <t>Mansi Arora</t>
  </si>
  <si>
    <t>150,000</t>
  </si>
  <si>
    <t>https://vt.tiktok.com/ZSCPg1Ev6/</t>
  </si>
  <si>
    <t>https://www.tiktok.com/@maansimadetales/video/7655559517853469973?_r=1&amp;_t=ZS-96s60OxhnrY</t>
  </si>
  <si>
    <t xml:space="preserve">  http://xhslink.com/o/44wLd3tevGe</t>
  </si>
  <si>
    <t>#6v4w/1hu6LoG/5JGJ21GxvnvDG9hjCLXMAbdA5OiqfSopvls+RiQxEuNdStcsBU=</t>
  </si>
  <si>
    <t>https://www.tiktok.com/@fine_xoxo?_r=1&amp;_t=ZS-94Gd0cZ94Dt</t>
  </si>
  <si>
    <t>#01A7N7WTHqxfXmy01lQVc+W3sXaz8q1QVUKjBuTeXso9Ig5FZqSgOCzhvfvEdNY=</t>
  </si>
  <si>
    <t>https://www.instagram.com/_1finesse_?igsh=MzE3d2Vnc2Rhd242&amp;utm_source=qr</t>
  </si>
  <si>
    <t>Achachu Getahun Worku</t>
  </si>
  <si>
    <t>1,722</t>
  </si>
  <si>
    <t>https://vt.tiktok.com/ZSCPe8BRA/</t>
  </si>
  <si>
    <t>Itaewon Pharmacy</t>
  </si>
  <si>
    <t>성성</t>
  </si>
  <si>
    <t>https://xhslink.com/m/7ZHaymonyw0</t>
  </si>
  <si>
    <t xml:space="preserve">Oumaima Gouhmane </t>
  </si>
  <si>
    <t>https://www.tiktok.com/@milarevee</t>
  </si>
  <si>
    <t>천이한</t>
  </si>
  <si>
    <t>5,202</t>
  </si>
  <si>
    <t>2026-06-30</t>
  </si>
  <si>
    <t>https://www.instagram.com/reel/DXJ6e7oCgQ3/?igsh=cnhoangxNWY2c29h</t>
  </si>
  <si>
    <t xml:space="preserve">http://xhslink.com/o/BB6uMJMHgj </t>
  </si>
  <si>
    <t>https://www.xiaohongshu.com/discovery/item/6a44ac050000000011016861?source=webshare&amp;xhsshare=pc_web&amp;xsec_token=CB9MTPYGrdHtqi_SeFPAsP_ukFm8Q3bGYXvesGBVs9A_Y=&amp;xsec_source=pc_share</t>
  </si>
  <si>
    <t>adcode-Q9jTBBNaaR53gS0BTdVNaOj-YqkB5cXYALab9K6xGBLOBhFvg3ZGmr6FEsL5QSym8TQ</t>
  </si>
  <si>
    <t>https://www.instagram.com/mei.meima/</t>
  </si>
  <si>
    <t xml:space="preserve">Naomi Oforiokuma </t>
  </si>
  <si>
    <t>https://www.instagram.com/therealnomikang</t>
  </si>
  <si>
    <t>류입</t>
  </si>
  <si>
    <t>https://m.dianping.com/feeddetail/3325961081?sceneType=1&amp;bizType=1&amp;utm_source=ugcshare&amp;msource=Appshare2021&amp;utm_medium=h5&amp;shareid=X4M6wxUF3e_1782961181</t>
  </si>
  <si>
    <t>https://www.instagram.com/reel/DXMQf4Ekr52/?igsh=bzM0YTZzbmVidXI1</t>
  </si>
  <si>
    <t>adcode-Q9jTBBX-YxSzmxai2Qzck9M_O0rIirFiTIT_NgqRAC6WL20UuEgGPGbPiiWNu2yAH5A</t>
  </si>
  <si>
    <t>18:00~18:30</t>
  </si>
  <si>
    <t>Marla Pulgar Allende</t>
  </si>
  <si>
    <t>+821055901031</t>
  </si>
  <si>
    <t>2,470</t>
  </si>
  <si>
    <t>2026-06-04</t>
  </si>
  <si>
    <t>386</t>
  </si>
  <si>
    <t>https://www.tiktok.com/@miawrla/video/7647547552950242567?_r=1&amp;_t=ZS-970gNWvAZQw</t>
  </si>
  <si>
    <t>https://www.instagram.com/lim_lucie/</t>
  </si>
  <si>
    <t>https://www.tiktok.com/@bygiannalee</t>
  </si>
  <si>
    <t>Patro Manusmita</t>
  </si>
  <si>
    <t>2,612</t>
  </si>
  <si>
    <t>396</t>
  </si>
  <si>
    <t>4</t>
  </si>
  <si>
    <t>67</t>
  </si>
  <si>
    <t>https://www.tiktok.com/@manusmitapatro/video/7649813647274806546?_r=1&amp;_t=ZS-96rgi3Aa0ON</t>
  </si>
  <si>
    <t xml:space="preserve"> https://www.xiaohongshu.com/user/profile/67176f15000000001d023073</t>
  </si>
  <si>
    <t>Podzeha Kateryna</t>
  </si>
  <si>
    <t>1,845</t>
  </si>
  <si>
    <t>https://www.instagram.com/reel/DZbvvvizND-/</t>
  </si>
  <si>
    <t>Alves da Silva Raiany Thais</t>
  </si>
  <si>
    <t>12,000</t>
  </si>
  <si>
    <t>2026-06-20</t>
  </si>
  <si>
    <t>90일 기준 30만원</t>
  </si>
  <si>
    <t>https://www.tiktok.com/@rayaneroxy/video/7652740782583074068</t>
  </si>
  <si>
    <t>+639163220261</t>
  </si>
  <si>
    <t>https://www.tiktok.com/@.joan__?_t=ZS-8wUeIBpusyX&amp;_r=1</t>
  </si>
  <si>
    <t>https://www.xiaohongshu.com/discovery/item/6a450f9a0000000007013f5c?source=webshare&amp;xhsshare=pc_web&amp;xsec_token=ABItGSFS19JrZoGmgN2bp07u4wBVR1qc2JCpwv5TDeycg=&amp;xsec_source=pc_share</t>
  </si>
  <si>
    <t>Yes</t>
  </si>
  <si>
    <t>https://www.instagram.com/imjoancultura?igsh=MTkzYTMyaGx0YTJrdQ%3D%3D&amp;utm_source=qr</t>
  </si>
  <si>
    <t xml:space="preserve">Aurora Schroeder </t>
  </si>
  <si>
    <t>https://www.instagram.com/aurora.seoul/</t>
  </si>
  <si>
    <t xml:space="preserve"> 하효동</t>
  </si>
  <si>
    <t>https://m.dianping.com/feeddetail/3347272064?sceneType=1&amp;bizType=1&amp;utm_source=ugcshare&amp;msource=Appshare2021&amp;utm_medium=h5&amp;shareid=QczJBetvpM_1784092649</t>
  </si>
  <si>
    <t>https://www.instagram.com/p/DXqZbd0EgXW/</t>
  </si>
  <si>
    <t>#NxiI66XrM+7IxDMfTRmpCi1Ts1ccT2AqcFXzLH1VJMvePiBqRnfMCFMRqAwQbFU=</t>
  </si>
  <si>
    <t>https://www.tiktok.com/@chelsieyoo?_r=1&amp;_t=ZS-94vHn3iFxQe</t>
  </si>
  <si>
    <t xml:space="preserve"> https://www.xiaohongshu.com/user/profile/5c52f966000000001801f2b1</t>
  </si>
  <si>
    <t>https://www.instagram.com/chelsieyoo_/reels/</t>
  </si>
  <si>
    <t>3pm</t>
  </si>
  <si>
    <r>
      <rPr>
        <u/>
        <sz val="10"/>
        <color rgb="FF1155CC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https://www.xiaohongshu.com/discovery/item/6a45d6f1000000000702c24a?source=webshare&amp;xhsshare=pc_web&amp;xsec_token=ABiG7uWoRrQU4rxb96MFcziBn1v5ZO8aq1oOHyux6PT5E=&amp;xsec_source=pc_share</t>
    </r>
  </si>
  <si>
    <t>+821043830286</t>
  </si>
  <si>
    <t>https://www.tiktok.com/@miawrla</t>
  </si>
  <si>
    <t>https://www.instagram.com/miawrla</t>
  </si>
  <si>
    <t>https://www.instagram.com/reel/DXRNnj1DYkh/</t>
  </si>
  <si>
    <t>#lrJQCyJGguYBmJrcrFFlUAEb0bEl4QFb+Hjcq24Zes971RB0bUxbhFxcCNzm2yg=</t>
  </si>
  <si>
    <t>강하</t>
  </si>
  <si>
    <t xml:space="preserve">Marika Sassanelli </t>
  </si>
  <si>
    <t>+393459435529</t>
  </si>
  <si>
    <t xml:space="preserve"> https://www.xiaohongshu.com/user/profile/638b5785000000002400816a</t>
  </si>
  <si>
    <t>https://www.tiktok.com/@glowymarika</t>
  </si>
  <si>
    <t>#t2LoW2YfCf+qkL8/RLB4Su931QXrfiw54j2bhgtmrXbDR8LTSIpkR52QqXNSKww=</t>
  </si>
  <si>
    <t>https://www.instagram.com/reel/DXructADTA1/?igsh=bjJ0amVtN3dud2xm</t>
  </si>
  <si>
    <t>https://www.xiaohongshu.com/discovery/item/6a431cda0000000020038b07?source=webshare&amp;xhsshare=pc_web&amp;xsec_token=ABEaTzJ4Og5bbvKn_fVOKaLNoJd_qnJykLAouNGlCsVjY=&amp;xsec_source=pc_share</t>
  </si>
  <si>
    <t>https://www.instagram.com/reel/DZKtUpByqor/?igsh=OHhtb2U2YnpyaHFv</t>
  </si>
  <si>
    <t>01083512010</t>
  </si>
  <si>
    <t>https://www.tiktok.com/@child_of_abraxas?_r=1&amp;_t=ZS-95uFnqNZwVJ</t>
  </si>
  <si>
    <t>Q9jTBBW8N0k1sO5_3oE5cxKrYQTWnBkL8O7Cd9BeWa75ChEWeHzkiJdp3Urxwcsx05A</t>
  </si>
  <si>
    <t>+82 01083176185</t>
  </si>
  <si>
    <t>https://www.instagram.com/child_of_abraxos?igsh=MWpkNnZ6bXZid2lhMg%3D%3D&amp;utm_source=qr</t>
  </si>
  <si>
    <t>https://www.instagram.com/pragyaaaannnn?igsh=cm9oazRzejQzcGU2&amp;utm_source=qr</t>
  </si>
  <si>
    <r>
      <rPr>
        <u/>
        <sz val="10"/>
        <color rgb="FF1155CC"/>
        <rFont val="Arial"/>
        <family val="2"/>
      </rPr>
      <t xml:space="preserve">@意涵欧尼在首尔 received 30.8K likes and saves on rednote，visit the profile&gt;&gt; </t>
    </r>
    <r>
      <rPr>
        <u/>
        <sz val="10"/>
        <color rgb="FF1155CC"/>
        <rFont val="Arial"/>
        <family val="2"/>
      </rPr>
      <t>https://xhslink.com/m/7eqGwSLQhI8</t>
    </r>
  </si>
  <si>
    <t>https://www.instagram.com/child_of_abraxos/reels/</t>
  </si>
  <si>
    <t>심우연</t>
  </si>
  <si>
    <t xml:space="preserve"> https://www.xiaohongshu.com/user/profile/67ff0cd0000000000d00bafb</t>
  </si>
  <si>
    <t>+82 1032609503</t>
  </si>
  <si>
    <t>#JNmCJWJO/sJHH4DQ7vB4AgT9ChkBrDUMsqLNAx4dLObSFJHBkfh+j95qUwKxXqw=</t>
  </si>
  <si>
    <t>https://www.tiktok.com/@irisoyeon_?_r=1&amp;_t=ZS-95ty8mvQ94u</t>
  </si>
  <si>
    <t>https://www.instagram.com/reel/DZaZG-AJOLy/</t>
  </si>
  <si>
    <t>https://www.instagram.com/irisoyeon_</t>
  </si>
  <si>
    <t xml:space="preserve">http://xhslink.com/o/A9sNybCvfN5 </t>
  </si>
  <si>
    <t>adcode-Q9jTBBVs-8zd9n33c-QYXzlw-lB3-dkXiQwWAM5odP23yEHJd9W_gCZldtJea6jUu0o</t>
  </si>
  <si>
    <t>https://www.tiktok.com/@katty_korea_?_r=1&amp;_t=ZS-96pqENzTdSb</t>
  </si>
  <si>
    <t>Chen Xian</t>
  </si>
  <si>
    <t>https://www.xiaohongshu.com/user/profile/5dfca3bf0000000001001ac1?xhsshare=CopyLink&amp;appuid=5dfca3bf0000000001001ac1&amp;apptime=1719396082</t>
  </si>
  <si>
    <t>https://www.instagram.com/reel/DYM7u-tI4qm/</t>
  </si>
  <si>
    <t>#osoJzGgHH9qjjCVMxy/iLma1qngfbvzjxa28OQNXY9xuX8e2se2uLRM9WIwoSiI=</t>
  </si>
  <si>
    <t xml:space="preserve">Atri Chatterjee </t>
  </si>
  <si>
    <t>01066439131</t>
  </si>
  <si>
    <t>https://www.tiktok.com/@belinda.fashionista?_r=1&amp;_t=ZN-95u9XMmjpyg</t>
  </si>
  <si>
    <t>https://www.instagram.com/katty_korea_?igsh=bHpkZ2JtZ253cDdj&amp;utm_source=qr</t>
  </si>
  <si>
    <t>https://www.instagram.com/belinda.fashionista?igsh=eDM3dGttNTZlOW0w&amp;utm_source=qr</t>
  </si>
  <si>
    <r>
      <rPr>
        <u/>
        <sz val="10"/>
        <color rgb="FF1155CC"/>
        <rFont val="Arial"/>
        <family val="2"/>
      </rPr>
      <t>http://xhslink.com/o/OckM64hmLX</t>
    </r>
  </si>
  <si>
    <t>Jin Huihui</t>
  </si>
  <si>
    <t>https://xhslink.com/m/5VXb7wQSLTL</t>
  </si>
  <si>
    <t>https://www.instagram.com/reel/DYRlk5Bvk83/</t>
  </si>
  <si>
    <t>https://www.xiaohongshu.com/discovery/item/6a47166a000000001702dbc1?source=webshare&amp;xhsshare=pc_web&amp;xsec_token=CBIen8vPpjVPaV96ku8RuMaFahNkuosqSj1JSOwDZES80=&amp;xsec_source=pc_share</t>
  </si>
  <si>
    <t>82 1089477943</t>
  </si>
  <si>
    <t>https://www.instagram.com/natashaamiri_</t>
  </si>
  <si>
    <t>+821084479526</t>
  </si>
  <si>
    <t>https://www.tiktok.com/@seoulissa?fbclid=PAZXh0bgNhZW0CMTEAc3J0YwZhcHBfaWQPOTM2NjE5NzQzMzkyNDU5AAGnsuya0zdcLMsgUBuoKbN0d0yTuup9MYFD_zvvWCf_oIsI3XgfTypBCynexls_aem_8gBn81QfU5QX00kl1MW4Bg</t>
  </si>
  <si>
    <t xml:space="preserve"> Shi Yule</t>
  </si>
  <si>
    <t>adcode-Q9jTBBUz71eXK5L-TeFsZApsK68ln0LbEdNbRIOfTj9RFmkiIvFkWTr6UvChsxzABy8</t>
  </si>
  <si>
    <t>https://www.xiaohongshu.com/user/profile/5ad5b2944eacab4fde71fe62?xsec_token=YB5ybIPMhTkEUqVTvIt6fe-rjiuo8FMfkNTFp1vdF3EOs=&amp;xsec_source=app_share&amp;xhsshare=CopyLink&amp;appuid=5ad5b2944eacab4fde71fe62&amp;apptime=1738696034&amp;share_id=82df6490883c4f07b51ffb17f95ab139</t>
  </si>
  <si>
    <t>3개월 40만원</t>
  </si>
  <si>
    <t>26-06-25~26-09-25</t>
  </si>
  <si>
    <t>https://www.instagram.com/0.banana</t>
  </si>
  <si>
    <t>https://www.tiktok.com/@rayaneroxy</t>
  </si>
  <si>
    <t>2026. 5. 8.</t>
  </si>
  <si>
    <t>https://www.instagram.com/rayaneroxy</t>
  </si>
  <si>
    <t>http://xhslink.com/o/25lD1QvvnYM</t>
  </si>
  <si>
    <t>펄리</t>
  </si>
  <si>
    <t xml:space="preserve"> https://www.xiaohongshu.com/user/profile/591534dd82ec3915d651359a</t>
  </si>
  <si>
    <r>
      <rPr>
        <u/>
        <sz val="10"/>
        <color rgb="FF1155CC"/>
        <rFont val="Arial"/>
        <family val="2"/>
      </rPr>
      <t>https://www.xiaohongshu.com/discovery/item/6a3e7471000000000702dac6?source=webshare&amp;xhsshare=pc_web&amp;xsec_token=AByLL4GrsBVShN1z5xG53z9XqrecaFKEISAnET8yF8JYk=&amp;xsec_source=pc_share</t>
    </r>
    <r>
      <rPr>
        <sz val="10"/>
        <rFont val="Arial"/>
        <family val="2"/>
      </rPr>
      <t>e</t>
    </r>
  </si>
  <si>
    <t>https://www.instagram.com/reel/DZupT-vv_bQ/</t>
  </si>
  <si>
    <t>ZHOUHUI</t>
  </si>
  <si>
    <t>https://m.dianping.com/feeddetail/3337339444?sceneType=1&amp;bizType=1&amp;utm_source=ugcshare&amp;msource=Appshare2021&amp;utm_medium=h5&amp;shareid=UghwR4kVGM_1784091265</t>
  </si>
  <si>
    <t xml:space="preserve">+82 010-9860-3026 </t>
  </si>
  <si>
    <t>https://www.tiktok.com/@virginiasvoyage</t>
  </si>
  <si>
    <t>https://xhslink.com/m/882h89xosWC</t>
  </si>
  <si>
    <t>https://www.instagram.com/virginiasvoyage</t>
  </si>
  <si>
    <t>http://xhslink.com/o/3NXikts7gBY</t>
  </si>
  <si>
    <t>#zSSL1sLOfRdoXUb95pL6o/nNCpEk0zo/7HbYjqTD/F5j67LOnaSatOEYEXWQNmM=</t>
  </si>
  <si>
    <t>https://www.instagram.com/reel/DZR4ZLgPFAf/?igsh=MWJ3MHpjMzRmdzZ2bQ==</t>
  </si>
  <si>
    <t>Full Name</t>
  </si>
  <si>
    <t xml:space="preserve">+82 01044457442 </t>
  </si>
  <si>
    <t>https://www.tiktok.com/@milkyyvenus?_r=1&amp;_t=ZN-93FmVmbMzeI</t>
  </si>
  <si>
    <t>https://instagram.com/milkyvenus</t>
  </si>
  <si>
    <t>https://www.tiktok.com/@.heeeelen?_r=1&amp;_t=ZN-94uzOxkvaUA</t>
  </si>
  <si>
    <t>#EgcXCRyxkqAKxtA4ZCjvQtUdaDpewPqfkCmSrdTlVUhVKPyoMoKsTWP3vo4K8wM=</t>
  </si>
  <si>
    <t>https://www.tiktok.com/@lolahouques?_r=1&amp;_t=ZN-96pFAlBji46</t>
  </si>
  <si>
    <t>https://www.instagram.com/lolahouques?igsh=MWsxN2JpcHliYjh0bQ==</t>
  </si>
  <si>
    <t>6856</t>
  </si>
  <si>
    <t xml:space="preserve">Divya Prashant Armarkar </t>
  </si>
  <si>
    <t>https://www.instagram.com/travelikediva?igsh=MXd1d3VscGd2aDlteg%3D%3D&amp;utm_source=qr</t>
  </si>
  <si>
    <t>https://www.instagram.com/reel/DZkFw_uSc-r/?igsh=MTd2OTRzam9vNGRzZw==</t>
  </si>
  <si>
    <t>3pm 4pm</t>
  </si>
  <si>
    <t>+821056011402</t>
  </si>
  <si>
    <t>https://www.tiktok.com/@its.lili.cious/</t>
  </si>
  <si>
    <t>https://www.instagram.com/its.lili.cious/</t>
  </si>
  <si>
    <t>https://www.instagram.com/reel/DWl4iQcCYWo/</t>
  </si>
  <si>
    <t>adcode-Q9jTBBIo6sbg5cI3j3FLpA1LKWvklEDcPxPdlMFJMU6YBNp9VOS2FpUyZgP-CeO3VyQ</t>
  </si>
  <si>
    <t>https://www.tiktok.com/@sofiaalopesc?_r=1&amp;_t=ZG-94BMg4D6zlh</t>
  </si>
  <si>
    <t>#oFCzKnAX+1jh0xlX//wM7dqPWztJAeB4aoDS33TZWvp9EdH1nth2vBKLFnXXBdk=</t>
  </si>
  <si>
    <t>https://www.instagram.com/reel/DZb5HfWRHv9/</t>
  </si>
  <si>
    <t>16:00</t>
  </si>
  <si>
    <t xml:space="preserve">Liubov Kurpatenkova </t>
  </si>
  <si>
    <t>https://www.instagram.com/luna_pro_beauty/</t>
  </si>
  <si>
    <t>https://www.instagram.com/reel/DWncJLDAPOC/?igsh=MWdlcTk0b3YxdThwaA==</t>
  </si>
  <si>
    <t>71000</t>
  </si>
  <si>
    <t>#DF34s6UBZOaiq1vpnX23pW42N4Fgc7m3A3JndGldXQ+TyBy4tONLOB5/7EeGmfw=</t>
  </si>
  <si>
    <t>https://www.tiktok.com/@oreo..leo</t>
  </si>
  <si>
    <t>adcode-Q9jTBBU1NW41sGPSZlTdo7yBhrflDFSIjpOiCpq3ZQ9y0TKDHyaW4VfyGXZb5mKGfQE</t>
  </si>
  <si>
    <t>3개월 50, 6개월 80만원</t>
  </si>
  <si>
    <t>1 pm</t>
  </si>
  <si>
    <t>팔로워수</t>
  </si>
  <si>
    <t>+821080945002</t>
  </si>
  <si>
    <t>https://www.tiktok.com/@babyglamgirl0?_r=1&amp;_t=ZS-91uPYc6Hcck</t>
  </si>
  <si>
    <t>Posting URL(TT)</t>
  </si>
  <si>
    <t>업로드 일자 (TT)</t>
  </si>
  <si>
    <t>댓글(TT)</t>
  </si>
  <si>
    <t>오디언스 국가</t>
  </si>
  <si>
    <t>https://www.instagram.com/reshmakunwarchhetri?utm_source=qr</t>
  </si>
  <si>
    <t>Posting URL(IG)</t>
  </si>
  <si>
    <t>업로드 일자 (IG)</t>
  </si>
  <si>
    <t>댓글(IG)</t>
  </si>
  <si>
    <t>#2SqBMwySxg+BiMCrRZJv9krW5i3fnYNMcP8xrRa0gsHSjDODaB4okgWttoL80vA=</t>
  </si>
  <si>
    <t>https://www.tiktok.com/@deborahinkorea_</t>
  </si>
  <si>
    <t>#2zPm4kS4vBdAZY9BJIseDsqAMqPARe3DRFAPPMRexUvg9eqEevsSIxnogaF+RYs=</t>
  </si>
  <si>
    <t>https://www.instagram.com/reel/DZutfvXT07d/?igsh=N3Z5NWJ3YXZudjlt</t>
  </si>
  <si>
    <t>https://www.instagram.com/deborahinkorea_/</t>
  </si>
  <si>
    <t>16
i like how spacious it is! doesn’t look overstimulating at all
🥰❤️🥰❤️🥰
wowowow 😳😳😳🥰🥰🥰
Third
🥰🥰🥰
I got u some stuff yay 😭💕🤭</t>
  </si>
  <si>
    <t>i like how spacious it is! doesn’t look overstimulating at all
wowowow 😳😳😳🥰🥰🥰
Third
🥰❤️🥰❤️🥰
🥰🥰🥰
I got u some stuff yay 😭💕🤭
i like how spacious it is! doesn’t look overstimulating at all
🥰❤️🥰❤️🥰
wowowow 😳😳😳🥰🥰🥰
Third
🥰🥰🥰
I got u some stuff yay 😭💕🤭</t>
  </si>
  <si>
    <t>US</t>
  </si>
  <si>
    <t>5PM</t>
  </si>
  <si>
    <t>+82 010-8403-2624</t>
  </si>
  <si>
    <t>https://www.tiktok.com/@maansimadetales?_r=1&amp;_t=ZS-96s60OxhnrY</t>
  </si>
  <si>
    <t>#pvowCOxsYcN/R7/hVMl4assNciDPfNQdgHVOlIDx1DzLZL7wi0vu0L9AWRW8lm4=</t>
  </si>
  <si>
    <t>https://www.tiktok.com/@travelikediva</t>
  </si>
  <si>
    <t xml:space="preserve">Nesterova Anastasia </t>
  </si>
  <si>
    <t>https://www.instagram.com/creator_mdd?igsh=MTNzOWxxODFuZTd6eQ%3D%3D&amp;utm_source=qr</t>
  </si>
  <si>
    <t>https://www.instagram.com/browngirlsings?igsh=MmJ3b3JqZm9ncDJp</t>
  </si>
  <si>
    <t>https://www.instagram.com/reel/DaCS_wgBT4_/</t>
  </si>
  <si>
    <t>https://www.instagram.com/reel/DWwCgwqEZZW/?igsh=Z242b293ZjNndWZy</t>
  </si>
  <si>
    <t>Thank you so much for visiting ◡̈ ♥</t>
  </si>
  <si>
    <t xml:space="preserve">11:30 AM </t>
  </si>
  <si>
    <t>+82-010-9719-5987</t>
  </si>
  <si>
    <t>https://www.instagram.com/lesyeoux?igsh=b3pqZ2NsZTN1Y2U5&amp;utm_source=qr</t>
  </si>
  <si>
    <t>adcode-Q9jTBBLc9Nu-5ze3kVD6rdnERKI8XSiGIlkFY_HJVAh0m1zFJQLWqKa5g4i8lWqEh4A   #xHdb2gOINzJ/zPldFn51bJ95Dm/da9tsujqPNnc1nnIfVsK8wJBOUK582LirpH8=</t>
  </si>
  <si>
    <t>+62 812 5634 6009</t>
  </si>
  <si>
    <t>https://www.instagram.com/sofiaalopesc/reels/</t>
  </si>
  <si>
    <t>https://www.tiktok.com/@verael_121</t>
  </si>
  <si>
    <t>https://www.instagram.com/verael_121</t>
  </si>
  <si>
    <t>Loving these</t>
  </si>
  <si>
    <t>#sbbxYL0WtVakYJtAOBJHccnMHy1MoSx0RAdL3QZ3nJj/ePUkxnP3gc38q/66EHk=</t>
  </si>
  <si>
    <t>2
😍
🥰🥰🥰🥰</t>
  </si>
  <si>
    <t>😍
🥰🥰🥰🥰</t>
  </si>
  <si>
    <t>https://www.instagram.com/reel/DXEgpXEAQAg/</t>
  </si>
  <si>
    <t>44
Is there anywhere us US people can buy? 😭
But I’m in USA Texas 😭😭😭😭
does olive young supply fake product ls
no all the products in olive young are real ones!!
What’s the best Korean beauty product for flattening a cystic pimple? Right now I’ve been trying Pyunkang Yul spot cream but I’m not noticing a difference</t>
  </si>
  <si>
    <t>https://www.tiktok.com/@ziekelijk</t>
  </si>
  <si>
    <t>does olive young supply fake product ls
But I’m in USA Texas 😭😭😭😭
What’s the best Korean beauty product for flattening a cystic pimple? Right now I’ve been trying Pyunkang Yul spot cream but I’m not noticing a difference
Is there anywhere us US people can buy? 😭
no all the products in olive young are real ones!!
Is there anywhere us US people can buy? 😭
But I’m in USA Texas 😭😭😭😭
does olive young supply fake product ls
no all the products in olive young are real ones!!
What’s the best Korean beauty product for flattening a cystic pimple? Right now I’ve been trying Pyunkang Yul spot cream but I’m not noticing a difference</t>
  </si>
  <si>
    <t>KR
US</t>
  </si>
  <si>
    <t>https://www.instagram.com/6ihal</t>
  </si>
  <si>
    <t>#VSB+m8m7Y7a7yxaNH1QRwlJEp9c8GdogFtK+HRovZ7DtcUgSrvys5FZGgiwe7Q0=</t>
  </si>
  <si>
    <t>https://www.tiktok.com/@skincarebybibi7</t>
  </si>
  <si>
    <t>https://www.tiktok.com/@koreabygrace</t>
  </si>
  <si>
    <t>https://www.tiktok.com/@koreabygrace/video/7634169888772197650</t>
  </si>
  <si>
    <t>7
Hello! This is Optima Itaewon 😊 
We contacted you after seeing the post you uploaded.
Our account was created a bit later, so if it’s okay with you, would it be possible to tag our account and invite us as a collaborator? 🙏
Thank you so much for visiting ◡̈ ♥
Очень интересно спасибо большое
И в правду музей. Не встречал ищё таких магазинов.
Желаю вам отличного настроения
Насколько разный подход в каждой стране
Я бы тоже так походила)
Как интересно спасибо за обзор круто 😍
Такое классное видео получилось
Какое прекрасное место!😍</t>
  </si>
  <si>
    <t>Hello! This is Optima Itaewon 😊 
We contacted you after seeing the post you uploaded.
Our account was created a bit later, so if it’s okay with you, would it be possible to tag our account and invite us as a collaborator? 🙏
Thank you so much for visiting ◡̈ ♥
Очень интересно спасибо большое
И в правду музей. Не встречал ищё таких магазинов.
Желаю вам отличного настроения
Насколько разный подход в каждой стране
Я бы тоже так походила)
Как интересно спасибо за обзор круто 😍
Такое классное видео получилось
Какое прекрасное место!😍</t>
  </si>
  <si>
    <t>report</t>
  </si>
  <si>
    <t>https://www.tiktok.com/@melissalimes</t>
  </si>
  <si>
    <t>Saves(ig)</t>
  </si>
  <si>
    <t>Share(ig)</t>
  </si>
  <si>
    <t>other sns</t>
  </si>
  <si>
    <t>2
Kak, open jastip gasih?? 😍
Thank you so much for visiting ◡̈ ♥</t>
  </si>
  <si>
    <t>Kak, open jastip gasih?? 😍
Thank you so much for visiting ◡̈ ♥</t>
  </si>
  <si>
    <t>https://www.tiktok.com/@fyejabi</t>
  </si>
  <si>
    <t>https://www.instagram.com/p/DYFFEUzz9wn/</t>
  </si>
  <si>
    <t>girly i love your voice 💕❤️❤️
Love it! Post some more recommendations :)
THIS IS SO COOL
LOVEEE THIS
omg!!</t>
  </si>
  <si>
    <t>#W5yUySbDtKZDaUULLoZmDpRxKo8dZbMUTvAZo0ykMY4DQTo4K9FC1pQPopKuqpY=</t>
  </si>
  <si>
    <t>+82-010-4956-0131</t>
  </si>
  <si>
    <t>https://www.tiktok.com/@itsanaolivas?_r=1&amp;_t=ZS-95wBNlnzXOs</t>
  </si>
  <si>
    <t>https://www.instagram.com/itsanaolivas/</t>
  </si>
  <si>
    <t>🥰🥰🥰😘😘😘❤️❤️❤️</t>
  </si>
  <si>
    <t>https://www.instagram.com/melissalimes/</t>
  </si>
  <si>
    <t>12
They have the best muffins there🥹
✨✨✨</t>
  </si>
  <si>
    <t>They have the best muffins there🥹
✨✨✨</t>
  </si>
  <si>
    <t xml:space="preserve">+82 010-7487-5265 </t>
  </si>
  <si>
    <t>https://www.tiktok.com/@renderella4real?_r=1&amp;_t=ZS-95v2oBbBnoS</t>
  </si>
  <si>
    <t>2
👏👏👏👏
👏
That’s insane</t>
  </si>
  <si>
    <t>👏👏👏👏
👏
That’s insane</t>
  </si>
  <si>
    <t>CA
US</t>
  </si>
  <si>
    <t>https://www.instagram.com/renderella06?igsh=YTBwZHY1bThxdHZ0</t>
  </si>
  <si>
    <t>29
they really turned this pharmacy into a destination 🥰
honestly a vibe!!!
honestly im just waiting for you 🤭🤭🤭
#ItaewonPharmacy #ItaewonHotspot #ItaewonMustVisit #ItaewonNewOpening #ItaewonDate #OptimaPharmacy #OWMPharmacy #PharmacyCosmetics
What if i visit 👀</t>
  </si>
  <si>
    <t>they really turned this pharmacy into a destination 🥰
#ItaewonPharmacy #ItaewonHotspot #ItaewonMustVisit #ItaewonNewOpening #ItaewonDate #OptimaPharmacy #OWMPharmacy #PharmacyCosmetics
What if i visit 👀
honestly a vibe!!!
honestly im just waiting for you 🤭🤭🤭
they really turned this pharmacy into a destination 🥰
honestly a vibe!!!
honestly im just waiting for you 🤭🤭🤭
#ItaewonPharmacy #ItaewonHotspot #ItaewonMustVisit #ItaewonNewOpening #ItaewonDate #OptimaPharmacy #OWMPharmacy #PharmacyCosmetics
What if i visit 👀</t>
  </si>
  <si>
    <t>https://www.instagram.com/reel/DX6x7FwBElz/</t>
  </si>
  <si>
    <t>+821025140826</t>
  </si>
  <si>
    <t>Why the pharmacy look like an Apple Store 😂
I can’t wait to go
What was the floor robot for?
cleaning 🤣🤣🤣
Only you 😂😂😂😂
🤣🤣🤣
Why the pharmacy look like an Apple Store 😂
cleaning 🤣🤣🤣
🤣🤣🤣
I can’t wait to go
Only you 😂😂😂😂
What was the floor robot for?</t>
  </si>
  <si>
    <t>https://www.instagram.com/hw26_hw</t>
  </si>
  <si>
    <t>2
Ohhhhh nice!!
#OWNPharmacy #itaewondate #PharmacyCosmetics #HannamdongPharmacy</t>
  </si>
  <si>
    <t>Ohhhhh nice!!
#OWNPharmacy #itaewondate #PharmacyCosmetics #HannamdongPharmacy</t>
  </si>
  <si>
    <t xml:space="preserve">Maria Lukianova </t>
  </si>
  <si>
    <t>https://www.tiktok.com/@mary.shire?_r=1&amp;_t=ZS-961ozB4KUXS</t>
  </si>
  <si>
    <t>https://www.instagram.com/mary.shire?igsh=M3EwZjBoOTM4MHkx&amp;utm_source=qr</t>
  </si>
  <si>
    <t>2026. 5.13.</t>
  </si>
  <si>
    <t>https://www.instagram.com/reel/DYdgvDUqfLH/?igsh=a2lmajh3em1sdWN2</t>
  </si>
  <si>
    <t>4
🔥🔥🔥
Wow
I need a plane ticket to Korea</t>
  </si>
  <si>
    <t>🔥🔥🔥
Wow
I need a plane ticket to Korea</t>
  </si>
  <si>
    <t>#qiSg6p2P5kWvjlOuls3bplF4m+v0i5iZEKjLHjcrVT2s8nOo/0re8rhkHwGzxZc=</t>
  </si>
  <si>
    <t>8210 8210 4627</t>
  </si>
  <si>
    <t>https://www.tiktok.com/@victoriarenblad?_r=1&amp;_t=ZN-95yxwAN8Eze</t>
  </si>
  <si>
    <t>https://www.instagram.com/victoriarenblad?igsh=d2tpN2drcmg2bmc%3D&amp;utm_source=qr</t>
  </si>
  <si>
    <t>2026. 5.15.</t>
  </si>
  <si>
    <t>https://www.instagram.com/reel/DYkDRfayex_/</t>
  </si>
  <si>
    <t>2
#owmseongsu #kbeauty #korea
So glad you stopped by! See you again in Seongsu 😊</t>
  </si>
  <si>
    <t>#owmseongsu #kbeauty #korea
So glad you stopped by! See you again in Seongsu 😊</t>
  </si>
  <si>
    <t>https://www.instagram.com/annet.krist/reels/</t>
  </si>
  <si>
    <t>4
We look forward to welcoming you again~
😍😍😍</t>
  </si>
  <si>
    <t>We look forward to welcoming you again~
😍😍😍</t>
  </si>
  <si>
    <t>https://www.tiktok.com/@anna2581</t>
  </si>
  <si>
    <t>🥰🥰🥰🥰 
❤️❤️
❤️❤️❤️</t>
  </si>
  <si>
    <t>29
Thank you very much for coming
Надо сходить туда🔥
Надо тоже сходить 😍😍❤️
Ваууу ,мне тоже туда надо 😍
Ничего себе какое пространство😍🔥
wow😮😍❤️
Клааасссно как😍😍😍
😍❤️🔥 вау эпично и классно 👍 тоже хочу туда сходить
Ваааау😍😍😍
😍красотка
Хотела сюда сходить , но споты только на апрель были у них 😢
Ух ты какое классное место 😍
Какая то прям лакшери аптека🔥🔥</t>
  </si>
  <si>
    <t>Thank you very much for coming
Надо сходить туда🔥
Надо тоже сходить 😍😍❤️
Ваууу ,мне тоже туда надо 😍
Ничего себе какое пространство😍🔥
wow😮😍❤️
Клааасссно как😍😍😍
😍❤️🔥 вау эпично и классно 👍 тоже хочу туда сходить
Ваааау😍😍😍
😍красотка
Хотела сюда сходить , но споты только на апрель были у них 😢
Ух ты какое классное место 😍
Какая то прям лакшери аптека🔥🔥</t>
  </si>
  <si>
    <t>RU</t>
  </si>
  <si>
    <t>3
Great content! Thanks for sharing~
Are they hiring? Ntabwo mpenda🫣</t>
  </si>
  <si>
    <t>Great content! Thanks for sharing~
Are they hiring? Ntabwo mpenda🫣</t>
  </si>
  <si>
    <t>RW</t>
  </si>
  <si>
    <t>https://www.tiktok.com/@therealnomikang</t>
  </si>
  <si>
    <t>Can I ? Idk 😂😂
Can you check for me too
Can I ? Idk 😂😂</t>
  </si>
  <si>
    <t>3
😍😍😍
So glad you stopped by! See you again in Seongsu 😊
👏👏👏 i gotta gooo
Wait I have seen this place everywhere!!!❤️</t>
  </si>
  <si>
    <t>😍😍😍
So glad you stopped by! See you again in Seongsu 😊
👏👏👏 i gotta gooo
Wait I have seen this place everywhere!!!❤️</t>
  </si>
  <si>
    <t>PH</t>
  </si>
  <si>
    <t>Jessica Chon</t>
  </si>
  <si>
    <t>82 010 4264 0164</t>
  </si>
  <si>
    <t>https://www.tiktok.com/@jesskincare96?_r=1&amp;_t=ZS-95vcyZpvFFl</t>
  </si>
  <si>
    <t>31
I never thought I’d see something like this in Seongsu👍👍👍</t>
  </si>
  <si>
    <t>I never thought I’d see something like this in Seongsu👍👍👍</t>
  </si>
  <si>
    <t>KR</t>
  </si>
  <si>
    <t>https://www.instagram.com/j.k_kim96/</t>
  </si>
  <si>
    <t>Mariam Mohamed Saleh</t>
  </si>
  <si>
    <t>+821057721609</t>
  </si>
  <si>
    <t>https://www.instagram.com/mariamoutro</t>
  </si>
  <si>
    <t>2
😍😍😍</t>
  </si>
  <si>
    <t>😍😍😍</t>
  </si>
  <si>
    <t>6
🔥🔥🔥🔥
Heaven 😍
i need to go here!!
#owmseongsu #seongsupharmacy #seoulshopping #seongsushopping
Thank you very much for coming</t>
  </si>
  <si>
    <t>🔥🔥🔥🔥
Heaven 😍
i need to go here!!
#owmseongsu #seongsupharmacy #seoulshopping #seongsushopping
Thank you very much for coming</t>
  </si>
  <si>
    <t>1
Such a big pharmacy!!
Now thats cool, im better not sat on that stress machine after whole week at work ugh</t>
  </si>
  <si>
    <t>Now thats cool, im better not sat on that stress machine after whole week at work ugh
Such a big pharmacy!!
Such a big pharmacy!!
Now thats cool, im better not sat on that stress machine after whole week at work ugh</t>
  </si>
  <si>
    <t>GB
US</t>
  </si>
  <si>
    <t>We sincerely appreciate your visit
Wow 🤩 gotta go</t>
  </si>
  <si>
    <t>https://www.instagram.com/glowymarika/reels/</t>
  </si>
  <si>
    <t>1
😍😍😍</t>
  </si>
  <si>
    <t>🔥🔥</t>
  </si>
  <si>
    <t>지점명</t>
  </si>
  <si>
    <t>방문 인원수</t>
  </si>
  <si>
    <t>6
So cool right 😍
i wanna gooo
Take me toooooo❤️❤️❤️❤️
😍😍😍😍😍
Yessss😍</t>
  </si>
  <si>
    <t>So cool right 😍
i wanna gooo
Take me toooooo❤️❤️❤️❤️
😍😍😍😍😍
Yessss😍</t>
  </si>
  <si>
    <t>88
😍😍😍
😍😍😍❤️❤️
Really love that pop of red ❤️
Darling this looks so fab😍👏
Wow 😍 I like how it’s looks and the whole concept
You are seriously SO gorgeous 😍✨ literally glowing girl 🤍
Stunning clip
I wish we had pharmacies like that here in the US 😢
Looks amazing
Take me there
👏👏
This pharmacy looks so cool. 😍
Nice 🐧♥️
Very good
Let's goo!!!
Just Korea things 😍 can’t believe this is a pharmacy and not a high end skin clinic 🔥
🔥🔥🔥
What a great experience 😍😍😍
Girl USA is so backward, honestly ❤️
How amazing is this😍😍🔥🔥
This is next level😮
❤️❤️❤️
This place is way too cool for a pharmacy. Love hearing your voice
Such a cool concept 😍
Looks fantastic 😍❤️
It's too good 😍
Amazing 😍
Life toh apki mst haib😂😂
❤️❤️
🔥🔥
😍😍
Do they have vitamins too ? I need to start taking them 😅
😍😍😍😍
Looks lux and amazing😍😍
it looks like a wellness-shop 😍
I wanna go 🤩
Looks amazing 😍
😍😍😍😍
Wow amazing!! 😍😍
I would spend hours in here!!
Amazing I need to go there!
Without fail ur style is on Q 🔥
Beautiful 🌷 as always ❤️
😍😍😍
🙌🙌
I need to check this out
Loove😍
Can’t wait to visit when I travel there ❤️❤️❤️❤️❤️❤️
Wooow this looks amazing 😍😍😍😍😍😍
That’s a beautifully designed pharmacy 😍thx for sharing
😮😮😮 this place looks so cool!!
This actually looks like therapy 😍 I love such places where they just pamper you before selling ❤️
Looks like it has it all 👏
Very future forward 🙌
🔥🔥❤️
Very cool space
Can't take my eyes of those ballet pumps ❤️
😍😍amazing!!!
Wow❤️
Looks great ❤️❤️❤️
I wanna visit 😍
need to go😍😍😍😍
😍😍omg amazing 😍
Wow 🤩 wow, looks really great 👏👏
Wow looks amazing
#SeongsuDate #SeongsuTrendSpot #SeongsuWellnessPharmacy #pharmacyfinds #seoultravel #thingstodoinseoul #thingstodoinseongsu #seongsu #seoul #visitkorea #korea #koreathingstodo
Loved having you here! Come visit again anytime you’re in Seongsu 😊
😍😍😍
That’s amazing 👏 It got everything you needed 🥰 Btw, I love your red ballet shoes  they really caught my eye.
❤️❤️
I want to go 😍😍😍😍
Very good 👏🔥❤️❤️🙌
Looks great 😍😍
Fabulous 👏🔥🔥🔥🔥🔥
What a cool space!
Looks fab 😍😍
Really nice experience 🙌👌 did it smell like a pharmacy? 😆
Shall we book a flight 😂😂❤️❤️
🙌😍😍
How wonderful is this 😍
Such an amazing experience 😍😍
Wow! It’s too good 🙌🙌
❤️
Lets gooooo!!!!</t>
  </si>
  <si>
    <t>😍😍😍
😍😍😍❤️❤️
Really love that pop of red ❤️
Darling this looks so fab😍👏
Wow 😍 I like how it’s looks and the whole concept
You are seriously SO gorgeous 😍✨ literally glowing girl 🤍
Stunning clip
I wish we had pharmacies like that here in the US 😢
Looks amazing
Take me there
👏👏
This pharmacy looks so cool. 😍
Nice 🐧♥️
Very good
Let's goo!!!
Just Korea things 😍 can’t believe this is a pharmacy and not a high end skin clinic 🔥
🔥🔥🔥
What a great experience 😍😍😍
Girl USA is so backward, honestly ❤️
How amazing is this😍😍🔥🔥
This is next level😮
❤️❤️❤️
This place is way too cool for a pharmacy. Love hearing your voice
Such a cool concept 😍
Looks fantastic 😍❤️
It's too good 😍
Amazing 😍
Life toh apki mst haib😂😂
❤️❤️
🔥🔥
😍😍
Do they have vitamins too ? I need to start taking them 😅
😍😍😍😍
Looks lux and amazing😍😍
it looks like a wellness-shop 😍
I wanna go 🤩
Looks amazing 😍
😍😍😍😍
Wow amazing!! 😍😍
I would spend hours in here!!
Amazing I need to go there!
Without fail ur style is on Q 🔥
Beautiful 🌷 as always ❤️
😍😍😍
🙌🙌
I need to check this out
Loove😍
Can’t wait to visit when I travel there ❤️❤️❤️❤️❤️❤️
Wooow this looks amazing 😍😍😍😍😍😍
That’s a beautifully designed pharmacy 😍thx for sharing
😮😮😮 this place looks so cool!!
This actually looks like therapy 😍 I love such places where they just pamper you before selling ❤️
Looks like it has it all 👏
Very future forward 🙌
🔥🔥❤️
Very cool space
Can't take my eyes of those ballet pumps ❤️
😍😍amazing!!!
Wow❤️
Looks great ❤️❤️❤️
I wanna visit 😍
need to go😍😍😍😍
😍😍omg amazing 😍
Wow 🤩 wow, looks really great 👏👏
Wow looks amazing
#SeongsuDate #SeongsuTrendSpot #SeongsuWellnessPharmacy #pharmacyfinds #seoultravel #thingstodoinseoul #thingstodoinseongsu #seongsu #seoul #visitkorea #korea #koreathingstodo
Loved having you here! Come visit again anytime you’re in Seongsu 😊
😍😍😍
That’s amazing 👏 It got everything you needed 🥰 Btw, I love your red ballet shoes  they really caught my eye.
❤️❤️
I want to go 😍😍😍😍
Very good 👏🔥❤️❤️🙌
Looks great 😍😍
Fabulous 👏🔥🔥🔥🔥🔥
What a cool space!
Looks fab 😍😍
Really nice experience 🙌👌 did it smell like a pharmacy? 😆
Shall we book a flight 😂😂❤️❤️
🙌😍😍
How wonderful is this 😍
Such an amazing experience 😍😍
Wow! It’s too good 🙌🙌
❤️
Lets gooooo!!!!</t>
  </si>
  <si>
    <t>7
Sun käyttäjä tuli foryou sivulle ja siis tosi ihana käyttäjä ja ootte ihana pieni perhe ja ehkä itseäki kiinnostais käydä joskus koreassa 🥰🥰
aww miten ihana kommentti🥺💕 kiitos 💖 ja kannattaa tulla käymään jos ikinä mahis! 🥰
응원 감사합니다 여보 😌💖
tuo sun paita on ihan sika hieno🤩
🥰🥰🥰</t>
  </si>
  <si>
    <t>Sun käyttäjä tuli foryou sivulle ja siis tosi ihana käyttäjä ja ootte ihana pieni perhe ja ehkä itseäki kiinnostais käydä joskus koreassa 🥰🥰
tuo sun paita on ihan sika hieno🤩
🥰🥰🥰
응원 감사합니다 여보 😌💖
aww miten ihana kommentti🥺💕 kiitos 💖 ja kannattaa tulla käymään jos ikinä mahis! 🥰
Sun käyttäjä tuli foryou sivulle ja siis tosi ihana käyttäjä ja ootte ihana pieni perhe ja ehkä itseäki kiinnostais käydä joskus koreassa 🥰🥰
aww miten ihana kommentti🥺💕 kiitos 💖 ja kannattaa tulla käymään jos ikinä mahis! 🥰
응원 감사합니다 여보 😌💖
tuo sun paita on ihan sika hieno🤩
🥰🥰🥰</t>
  </si>
  <si>
    <t>FI
KR</t>
  </si>
  <si>
    <t>Need to visit!</t>
  </si>
  <si>
    <t>https://www.tiktok.com/seoulissa</t>
  </si>
  <si>
    <t>Ampha Thungtong</t>
  </si>
  <si>
    <t>+821099914693</t>
  </si>
  <si>
    <t>https://www.instagram.com/angoon_3659?igsh=b205cXAwdGJrdmxr&amp;utm_source=qr</t>
  </si>
  <si>
    <t>山口奈々美</t>
  </si>
  <si>
    <t>080-2346-1793</t>
  </si>
  <si>
    <t>4,5월 미들급</t>
  </si>
  <si>
    <t>https://www.tiktok.com/@churumisama/video/7645595427454160148</t>
  </si>
  <si>
    <t>蒔田千夏</t>
  </si>
  <si>
    <t>080-6767-0731</t>
  </si>
  <si>
    <t>鈴木未夢</t>
  </si>
  <si>
    <t>080-1254-0002</t>
  </si>
  <si>
    <t>https://www.tiktok.com/@seikeimakemiyu/video/7645547822598720789</t>
  </si>
  <si>
    <t>金山未来</t>
  </si>
  <si>
    <t>09020928685</t>
  </si>
  <si>
    <t>https://www.tiktok.com/@2002_151/video/7644896105905523988</t>
  </si>
  <si>
    <t>氏家もえ</t>
  </si>
  <si>
    <t>080-5501-0230</t>
  </si>
  <si>
    <t>https://www.instagram.com/p/DYYG00VSCXd/</t>
  </si>
  <si>
    <t>植草真実</t>
  </si>
  <si>
    <t>080-4861-0692</t>
  </si>
  <si>
    <t>https://www.instagram.com/reels/DYol2Y9yrC_/</t>
  </si>
  <si>
    <t>水野春菜</t>
  </si>
  <si>
    <t>090-7604-6841</t>
  </si>
  <si>
    <t>https://www.instagram.com/reels/DYnaiUZTn04/</t>
  </si>
  <si>
    <t>高橋ユナ</t>
  </si>
  <si>
    <t>080-7798-3130</t>
  </si>
  <si>
    <t>https://www.instagram.com/reel/DYm0vhwTvv_/</t>
  </si>
  <si>
    <t>大橋まゆみ</t>
  </si>
  <si>
    <t>090-5876-9836</t>
  </si>
  <si>
    <t>https://www.instagram.com/reels/DYmOXeqhGU1/</t>
  </si>
  <si>
    <t>渡部絵梨香</t>
  </si>
  <si>
    <t>08024034933</t>
  </si>
  <si>
    <t>https://www.tiktok.com/@er1ka0309/video/7645961010594974994</t>
  </si>
  <si>
    <t>田中玲音</t>
  </si>
  <si>
    <t>08061876956</t>
  </si>
  <si>
    <t>https://www.tiktok.com/@i8rn3_/video/7645317738080079124</t>
  </si>
  <si>
    <t>戸叶杏奈</t>
  </si>
  <si>
    <t>08059093869</t>
  </si>
  <si>
    <t>https://www.tiktok.com/@api_chan_tokyo/video/7645253106598546708</t>
  </si>
  <si>
    <t>高橋ひとみ</t>
  </si>
  <si>
    <t>09047046358</t>
  </si>
  <si>
    <t>https://www.tiktok.com/@shizuku_1813/video/7644138800557444370</t>
  </si>
  <si>
    <t>山口</t>
  </si>
  <si>
    <t>07041059290</t>
  </si>
  <si>
    <t>https://www.tiktok.com/@ippaiagetai/video/7645283841367837973</t>
  </si>
  <si>
    <t>松芳</t>
  </si>
  <si>
    <t>07012720215</t>
  </si>
  <si>
    <t>https://www.tiktok.com/@215ot_/video/7644875975037144340</t>
  </si>
  <si>
    <t>松山 里咲</t>
  </si>
  <si>
    <t>09081091859</t>
  </si>
  <si>
    <t>https://www.tiktok.com/@peco_pooh/video/7645270217718893844</t>
  </si>
  <si>
    <t>圓山アミ</t>
  </si>
  <si>
    <t>08020040509</t>
  </si>
  <si>
    <t>隈部綾香(クマベアヤカ)</t>
  </si>
  <si>
    <t>+81 90-1865-0173</t>
  </si>
  <si>
    <t>https://www.tiktok.com/@kuma_fam_love?</t>
  </si>
  <si>
    <t>https://www.instagram.com/kuma_fam_love/</t>
  </si>
  <si>
    <t>4월 나노/마이크로</t>
  </si>
  <si>
    <t>https://x.com/kuma_fam_love/status/2056361965195493739?s=46
https://vt.tiktok.com/ZSx6hRDMd/</t>
  </si>
  <si>
    <t>https://www.instagram.com/reel/DYeziJ9SatR/?igsh=YXA5cjl0cWNkZTN3</t>
  </si>
  <si>
    <t>磯奈緒美</t>
  </si>
  <si>
    <t>＋81 09075120921</t>
  </si>
  <si>
    <t>https://www.instagram.com/somi_8814?igsh=MXZvZTl5ZmVuc2d0dw%3D%3D&amp;utm_source=qr</t>
  </si>
  <si>
    <t>https://x.com/somi8814/status/2059851458510819620?s=46</t>
  </si>
  <si>
    <t/>
  </si>
  <si>
    <t>堀田 真澄</t>
  </si>
  <si>
    <t>+818030760813</t>
  </si>
  <si>
    <t>https://www.instagram.com/monabeauty2026/</t>
  </si>
  <si>
    <t>https://www.instagram.com/reels/DZFPPlJs0zh/</t>
  </si>
  <si>
    <t>鍵本莉頬</t>
  </si>
  <si>
    <t>＋819020031869</t>
  </si>
  <si>
    <t>https://www.instagram.com/reotam214/</t>
  </si>
  <si>
    <t>https://www.instagram.com/p/DYteyGjkUTB/?img_index=1</t>
  </si>
  <si>
    <t>土田志帆</t>
  </si>
  <si>
    <t>https://www.instagram.com/otsuchinoohada.kiroku</t>
  </si>
  <si>
    <t>https://lite.tiktok.com/t/ZSxHRkmoU/</t>
  </si>
  <si>
    <t>https://www.instagram.com/reel/DYv4Ap0ywtD/?igsh=MXZrOG4ybmVrcW54dA==</t>
  </si>
  <si>
    <t>時光麻美子</t>
  </si>
  <si>
    <t>08011770542</t>
  </si>
  <si>
    <t>https://x.com/painmomokan77/status/2060310854944661641?s=46</t>
  </si>
  <si>
    <t>白鳥佳瑚</t>
  </si>
  <si>
    <t>+819014371807</t>
  </si>
  <si>
    <t>https://www.instagram.com/kako_suv?igsh=ZG53NW1tdDR5Y3hq</t>
  </si>
  <si>
    <t>https://www.instagram.com/reel/DYuLOjBB6Nd/?igsh=MTU5aW9qa2ZneHFiNw==</t>
  </si>
  <si>
    <t>粟岡里菜</t>
  </si>
  <si>
    <t>08053462310</t>
  </si>
  <si>
    <t>https://www.instagram.com/yuzucosmetic?igsh=MXUycDB1MmM5YWlhNQ%3D%3D&amp;utm_source=qr</t>
  </si>
  <si>
    <t>https://www.instagram.com/reel/DYwx7UbykNo/?igsh=d3VpNG1jZmJvd2d5</t>
  </si>
  <si>
    <t>小川音羽</t>
  </si>
  <si>
    <t>+819011656813</t>
  </si>
  <si>
    <t>https://www.instagram.com/beauty_o_44/</t>
  </si>
  <si>
    <t>府川弥桜</t>
  </si>
  <si>
    <t>080-6558-5043</t>
  </si>
  <si>
    <t>https://www.instagram.com/onakasuitayo303?igsh=MTVyc2M1cWF1dTRzbg%3D%3D&amp;utm_source=qr</t>
  </si>
  <si>
    <t>松村理沙子</t>
  </si>
  <si>
    <t xml:space="preserve"> ＋81 08042821479</t>
  </si>
  <si>
    <t>杉田真帆</t>
  </si>
  <si>
    <t>07084472173</t>
  </si>
  <si>
    <t>https://www.instagram.com/petit.lovelove?igsh=MTBpOThoMW5idmpzbA%3D%3D&amp;utm_source=qr</t>
  </si>
  <si>
    <t>小林優里</t>
  </si>
  <si>
    <t>+82 1039078672</t>
  </si>
  <si>
    <t>https://www.instagram.com/yuchan_cosme?igsh=bnlzbGttNWVydjlz&amp;utm_source=qr</t>
  </si>
  <si>
    <t>増澤美由紀</t>
  </si>
  <si>
    <t>+81 09061050804</t>
  </si>
  <si>
    <t>https://www.tiktok.com/@neterukaishain?_r=1&amp;_t=ZS-95kNQWBmEVT</t>
  </si>
  <si>
    <t>https://vt.tiktok.com/ZSxymnLQ8/
https://lipscosme.com/posts/8707041?_t=zLqY&amp;_r=dW68DN</t>
  </si>
  <si>
    <t>https://www.instagram.com/reel/DYo3b2LgNJs/?igsh=MTJwMzN6MDl2Yjl3Ng==</t>
  </si>
  <si>
    <t>杉澤道子</t>
  </si>
  <si>
    <t>+8108018447059</t>
  </si>
  <si>
    <t>https://www.instagram.com/sawamii25?igsh=bXJqcnI3ajFlMWI0&amp;utm_source=qr</t>
  </si>
  <si>
    <t>https://www.instagram.com/reel/DYuUaQLSAzc/?igsh=dmR2dW55cTV6MnJl</t>
  </si>
  <si>
    <t>山下久美子</t>
  </si>
  <si>
    <t>07028121141</t>
  </si>
  <si>
    <t>https://www.instagram.com/kirarin93?igsh=YXVibnFiaDJiMzJi</t>
  </si>
  <si>
    <t>https://www.instagram.com/reel/DYd3DaMRcAk/?igsh=MWJ6MTFsYWcyazE5Ng==</t>
  </si>
  <si>
    <t>大参成美</t>
  </si>
  <si>
    <t>+819047460571</t>
  </si>
  <si>
    <t>https://www.tiktok.com/@chobinamama/video/7643772010690088200?_r=1&amp;_t=ZS-96eYu923iA3</t>
  </si>
  <si>
    <t>https://www.instagram.com/reel/DYwfT4zy5rq/?utm_source=ig_web_copy_link&amp;igsh=MzRlODBiNWFlZA==</t>
  </si>
  <si>
    <t>山本真弓</t>
  </si>
  <si>
    <t>+81 08032295096</t>
  </si>
  <si>
    <t>https://www.tiktok.com/@newbieppp?_t=ZS-8sYoVDUZltU&amp;_r=1</t>
  </si>
  <si>
    <t>https://vt.tiktok.com/ZSxHRrxWo/</t>
  </si>
  <si>
    <t>尾崎　聖来</t>
  </si>
  <si>
    <t>＋81 090-1439-6731</t>
  </si>
  <si>
    <t>https://www.instagram.com/v_racchi_?igsh=MTh5d2Vobm11NGxubg%3D%3D&amp;utm_source=qr</t>
  </si>
  <si>
    <t>https://www.instagram.com/p/DYv_CCqA7Jd/</t>
  </si>
  <si>
    <t>和泉ひより</t>
  </si>
  <si>
    <t>+81 7043175707</t>
  </si>
  <si>
    <t>https://www.instagram.com/snzhitn04?igsh=MTRlY285Y2Q2enl3NA%3D%3D&amp;utm_source=qr</t>
  </si>
  <si>
    <t>三木彩香子</t>
  </si>
  <si>
    <t>08042300044</t>
  </si>
  <si>
    <t>https://www.instagram.com/biyou.cosme.beautiful?igshid=OGQ5ZDc2ODk2ZA%3D%3D&amp;utm_source=qr</t>
  </si>
  <si>
    <t>https://www.instagram.com/p/DYl4j5_FPMf/?igsh=ZGF6cHowbnIxa2ts</t>
  </si>
  <si>
    <t>仙石 英瑠愛</t>
  </si>
  <si>
    <t>08015872408</t>
  </si>
  <si>
    <t>https://www.instagram.com/usuhada_skinlog?igsh=cTQ3Z25ycnRmZjR3&amp;utm_source=qr</t>
  </si>
  <si>
    <t>https://www.instagram.com/p/DYuDhN9mUTV/?igsh=MnV0ZTdsd3F1ODFh</t>
  </si>
  <si>
    <t>唄彩葉</t>
  </si>
  <si>
    <t>080-5814-7293</t>
  </si>
  <si>
    <t>https://www.instagram.com/bakm_86?igsh=N3h6OWgzdHB0ZTU2&amp;utm_source=qr</t>
  </si>
  <si>
    <t>https://www.instagram.com/p/DYuKXoQmhD2/?igsh=MWd2ZmZjbjloaXlwdQ==</t>
  </si>
  <si>
    <t>鈴木詩歩</t>
  </si>
  <si>
    <t>+81-80-1305-4430</t>
  </si>
  <si>
    <t>https://www.instagram.com/icgmlk14/</t>
  </si>
  <si>
    <t>https://www.instagram.com/p/DYfziEJE4n2/?igsh=MTR1dXR5aGRjeWJwYQ==</t>
  </si>
  <si>
    <t>https://www.instagram.com/reels/DYCskwQvwdz/</t>
  </si>
  <si>
    <t>高良沙羅</t>
  </si>
  <si>
    <t>+81 90-9833-4090</t>
  </si>
  <si>
    <t>https://www.instagram.com/saera.lab?igsh=c3RqcnRveG9xdmFq&amp;utm_source=qr</t>
  </si>
  <si>
    <r>
      <rPr>
        <u/>
        <sz val="10"/>
        <color rgb="FF1155CC"/>
        <rFont val="Arial"/>
        <family val="2"/>
      </rPr>
      <t>https://x.com/saera_lab/status/2057988179412877741?s=46&amp;t=R0x8NRUCJasxHFkWYBmByQ
https://www.tiktok.com/@saera_beauty/photo/7642883796290768136?_r=1&amp;_t=ZS-96bWbhnADTj</t>
    </r>
    <r>
      <rPr>
        <u/>
        <sz val="10"/>
        <color rgb="FF1F1F1F"/>
        <rFont val="Arial"/>
        <family val="2"/>
      </rPr>
      <t xml:space="preserve">
</t>
    </r>
    <r>
      <rPr>
        <u/>
        <sz val="10"/>
        <color rgb="FF1155CC"/>
        <rFont val="Arial"/>
        <family val="2"/>
      </rPr>
      <t>https://lipscosme.com/posts/8721966?_t=zLqY&amp;_r=krkMaz</t>
    </r>
  </si>
  <si>
    <t>https://www.instagram.com/p/DYqWXdLE13u/?igsh=bDk2cXc4NGJ0M3lt</t>
  </si>
  <si>
    <t>桐山　京子</t>
  </si>
  <si>
    <t>+81-090-6525-8909</t>
  </si>
  <si>
    <t>https://www.instagram.com/miyako_cosmetic10?igsh=YXdkYmFmdzhhZDJr&amp;utm_source=qr</t>
  </si>
  <si>
    <t>https://www.instagram.com/p/DYuig4YEgwO/?igsh=cTYzeGowanZsdmp1</t>
  </si>
  <si>
    <t>角谷紫帆</t>
  </si>
  <si>
    <t>+818038685912</t>
  </si>
  <si>
    <t>https://www.instagram.com/shinorin_win/</t>
  </si>
  <si>
    <t>https://www.instagram.com/reel/DYrgq7eugYc/?igsh=YnY3NzBqNzl1OHI5</t>
  </si>
  <si>
    <t>藤本詩史</t>
  </si>
  <si>
    <t>08026183366</t>
  </si>
  <si>
    <t>https://www.instagram.com/suki.cosme?igsh=MXdqNTQzamN0ZTNrMQ%3D%3D&amp;utm_source=qr</t>
  </si>
  <si>
    <t>https://lipscosme.com/posts/8728111?_t=zLqY&amp;_r=RRxVXb</t>
  </si>
  <si>
    <t>https://www.instagram.com/p/DYuYfKREgvB/?igsh=MWM5Z3N3cTg2c3loeQ==</t>
  </si>
  <si>
    <t>38</t>
  </si>
  <si>
    <t>菊地 亜希子</t>
  </si>
  <si>
    <t>＋819093886523</t>
  </si>
  <si>
    <t>https://www.instagram.com/alikokila?igsh=ajZsNnF4aHBzeTRu&amp;utm_source=qr</t>
  </si>
  <si>
    <t>https://www.instagram.com/reel/DYcIfF1BywO/?igsh=NjZmdGF6dW1hNGk=</t>
  </si>
  <si>
    <t>白石 海葵</t>
  </si>
  <si>
    <t>090-3318-1624</t>
  </si>
  <si>
    <t>https://lipscosme.com/posts/8728083?_t=zLqY&amp;_r=2zWQ0P
https://x.com/i/status/2058553592731328894</t>
  </si>
  <si>
    <t>ワカオリンタロウ</t>
  </si>
  <si>
    <t>+81 90-7443-0607</t>
  </si>
  <si>
    <t>https://www.instagram.com/ling_.67x?igsh=MWN1MjZ4aW1iNzE1aQ%3D%3D&amp;utm_source=qr</t>
  </si>
  <si>
    <t>小田みさき</t>
  </si>
  <si>
    <t>07085470711</t>
  </si>
  <si>
    <t>https://x.com/kusumi_summer/status/2057795011509698802/photo/1</t>
  </si>
  <si>
    <t>大田里枝</t>
  </si>
  <si>
    <t>090-1947-4725</t>
  </si>
  <si>
    <t>https://www.instagram.com/p/DYwlLoDE0bF/?igsh=MzFyZDgxcnNqNHJr</t>
  </si>
  <si>
    <t>本間怜華</t>
  </si>
  <si>
    <t>+81-80-7675-9240</t>
  </si>
  <si>
    <t>https://lipscosme.com/posts/8722759
https://x.com/Re7007953652271/status/2058060339938537798/photo/1</t>
  </si>
  <si>
    <t>3701</t>
  </si>
  <si>
    <t>228</t>
  </si>
  <si>
    <t>浅野朝花</t>
  </si>
  <si>
    <t>+ 81 80-6533-2892</t>
  </si>
  <si>
    <t>https://www.tiktok.com/@user1213227048580?_r=1&amp;_t=ZS-95zrnjNIbxf</t>
  </si>
  <si>
    <t>https://www.instagram.com/asarun_asarun?igsh=MWNxcXlxdmhxZGI2&amp;utm_source=qr</t>
  </si>
  <si>
    <t>https://lipscosme.com/posts/8711896?_t=zLqY&amp;_r=YlN1a1
https://vt.tiktok.com/ZSxhFwx5Y/
https://x.com/asaasarunrun/status/2056812740992500143?s=46&amp;t=QIizb99E74GEGf4qWz3XPA</t>
  </si>
  <si>
    <t>https://www.instagram.com/reel/DYh_KT_yc7t/?igsh=MWgwOTJsaGd0eGphcg==</t>
  </si>
  <si>
    <t>山本智佳</t>
  </si>
  <si>
    <t>+81 09058008826</t>
  </si>
  <si>
    <t>https://www.instagram.com/natsu.beautyandhealth/</t>
  </si>
  <si>
    <t>鈴木桃音</t>
  </si>
  <si>
    <t>+81 080-4215-1126</t>
  </si>
  <si>
    <t>https://www.instagram.com/nico_cosme_?igsh=MXVqbHdibnRwa2VkcQ%3D%3D&amp;utm_source=qr</t>
  </si>
  <si>
    <t>https://www.instagram.com/p/DY17X5fmbSd/?img_index=1</t>
  </si>
  <si>
    <t>須永萌絵</t>
  </si>
  <si>
    <t>080-5454-1904</t>
  </si>
  <si>
    <t>http://www.tiktok.com/@moea444</t>
  </si>
  <si>
    <t>https://www.instagram.com/reel/DYjtrR3SFDA/?igsh=MXBqY3ZlamN5bHBhNw==</t>
  </si>
  <si>
    <t>山本由香</t>
  </si>
  <si>
    <t>+81-80-4560-1916</t>
  </si>
  <si>
    <t>土井三奈</t>
  </si>
  <si>
    <t>08056177573</t>
  </si>
  <si>
    <t>https://lipscosme.com/posts/8736664?_t=zLqY&amp;_r=gQkvkk
https://x.com/i/status/2059467289800650855</t>
  </si>
  <si>
    <t>熊谷照美</t>
  </si>
  <si>
    <t>080-9320-9919</t>
  </si>
  <si>
    <t>増井貴美栄</t>
  </si>
  <si>
    <t>08066219897</t>
  </si>
  <si>
    <t>https://www.tiktok.com/@ki_chan05</t>
  </si>
  <si>
    <t>井上あやの</t>
  </si>
  <si>
    <t>080-9402-8526</t>
  </si>
  <si>
    <t>https://www.instagram.com/pi_aria/</t>
  </si>
  <si>
    <t>https://www.instagram.com/p/DYbBgy8kxVC/?igsh=MXF5cGY4dHQ2ZWpnZw==</t>
  </si>
  <si>
    <t>中さゆり</t>
  </si>
  <si>
    <t>08049333477</t>
  </si>
  <si>
    <t>https://www.tiktok.com/@maychan_live?_r=1&amp;_t=ZS-95gz4aRxrcr</t>
  </si>
  <si>
    <t>https://www.tiktok.com/@maychan_live/video/7640751453119859989?_r=1&amp;_t=ZS-95gz4aRxrcr</t>
  </si>
  <si>
    <t>598</t>
  </si>
  <si>
    <t>47</t>
  </si>
  <si>
    <t>井上　ありす</t>
  </si>
  <si>
    <t>070-8901-7826</t>
  </si>
  <si>
    <t>https://x.com/i/status/2055980306612748288　
https://x.com/i/status/2055984736510812540　</t>
  </si>
  <si>
    <t>岡崎真林</t>
  </si>
  <si>
    <t>+81 9026650758</t>
  </si>
  <si>
    <t>https://www.instagram.com/rinriiy_official/</t>
  </si>
  <si>
    <t>https://x.com/95___mr</t>
  </si>
  <si>
    <t>若林きよこ</t>
  </si>
  <si>
    <t>+8107083490484</t>
  </si>
  <si>
    <t>https://www.instagram.com/kiyoko91110/</t>
  </si>
  <si>
    <t>https://www.instagram.com/reel/DZEs2Kqxu33/?utm_source=ig_web_copy_link&amp;igsh=MzRlODBiNWFlZA==</t>
  </si>
  <si>
    <t>渡辺 亜美</t>
  </si>
  <si>
    <t>+81-80-8570-7968</t>
  </si>
  <si>
    <t>https://www.tiktok.com/@amipyn.223?_r=1&amp;_t=ZS-95h8YBcZF1o</t>
  </si>
  <si>
    <t>https://www.tiktok.com/@amipyn.223/video/7642705745246522631?_r=1&amp;_t=ZS-95h8YBcZF1o</t>
  </si>
  <si>
    <t>辻綾奈</t>
  </si>
  <si>
    <t>81-090-3063-5714</t>
  </si>
  <si>
    <t>https://lipscosme.com/posts/8729639?_t=zLqY&amp;_r=3ypGO3</t>
  </si>
  <si>
    <t>https://www.instagram.com/p/DYwlp0rD268/?igsh=MmZic2owNDJtb3Jo</t>
  </si>
  <si>
    <t>https://x.com/mi__kan1221/status/2058878080463290822?s=46</t>
  </si>
  <si>
    <t>鵜澤春日</t>
  </si>
  <si>
    <t>+81-90-4382-0693</t>
  </si>
  <si>
    <t>https://lipscosme.com/posts/8721610?_t=zLqY&amp;_r=JoX0kd</t>
  </si>
  <si>
    <t>https://www.instagram.com/p/DYom4AjgcZv/?igsh=bWx4cG9qYmN0eTBk</t>
  </si>
  <si>
    <t>https://x.com/tvxq0126/status/2057874378520711285?s=46&amp;t=l4w0n3g5dP0yVlA_Bz5AYA</t>
  </si>
  <si>
    <t>森山文香</t>
  </si>
  <si>
    <t>+81 08063915954</t>
  </si>
  <si>
    <t>https://www.tiktok.com/@en_bambi?_r=1&amp;_t=ZS-95nrgNH0XDd</t>
  </si>
  <si>
    <t>竹下真奈美</t>
  </si>
  <si>
    <t>+819047514902</t>
  </si>
  <si>
    <t>https://www.instagram.com/milange/</t>
  </si>
  <si>
    <t>伊藤美瑠愛</t>
  </si>
  <si>
    <t>08037099028</t>
  </si>
  <si>
    <t>https://www.tiktok.com/@mirua_arumi?_r=1&amp;_t=ZS-95sfA1wTbam</t>
  </si>
  <si>
    <t>https://www.instagram.com/mirua._.arumi?igsh=MXJxNWw5MWtjMWU0dQ==</t>
  </si>
  <si>
    <t>山崎明音</t>
  </si>
  <si>
    <t>+81 08067220716</t>
  </si>
  <si>
    <t>https://www.instagram.com/akane_716/</t>
  </si>
  <si>
    <t>https://youtube.com/shorts/fXV_ild2NJs?si=2tr2ChSp2stv4Tux</t>
  </si>
  <si>
    <t>https://www.instagram.com/reel/DZHm5j_BMus/?igsh=M2Q1NG84aGdhZjlv</t>
  </si>
  <si>
    <t>青木奈々</t>
  </si>
  <si>
    <t>+81)090-5132-4515</t>
  </si>
  <si>
    <t>黒川栞</t>
  </si>
  <si>
    <t>090-7021-6785</t>
  </si>
  <si>
    <t>https://www.instagram.com/gmnn634?igsh=MXQ5M255YWl6dmZpZw%3D%3D&amp;utm_source=qr</t>
  </si>
  <si>
    <t>https://www.tiktok.com/@nene__kurumi/photo/7647513038492388616?_r=1&amp;_t=ZS-92rWnybvdbu</t>
  </si>
  <si>
    <t>https://www.instagram.com/p/DZKd7BJEX97/?img_index=1</t>
  </si>
  <si>
    <t>https://x.com/nene_kurumi/status/2062507795275214968/photo/1</t>
  </si>
  <si>
    <t>佐藤　杏実</t>
  </si>
  <si>
    <t>+81 090-9758-0551</t>
  </si>
  <si>
    <t>https://www.instagram.com/anmi5326</t>
  </si>
  <si>
    <t>https://lipscosme.com/posts/8758878?_t=zLqY&amp;_r=6l4lwa</t>
  </si>
  <si>
    <t>https://www.instagram.com/reel/DY2BrIKJ0D-/?igsh=MWJrNHV0czlkdGYwdg==</t>
  </si>
  <si>
    <t>髙橋彩未</t>
  </si>
  <si>
    <t>+81 07011456584</t>
  </si>
  <si>
    <t>https://www.instagram.com/amit_.1211</t>
  </si>
  <si>
    <t>藤田沙織（フジタサオリ）</t>
  </si>
  <si>
    <t>08036965671</t>
  </si>
  <si>
    <t>https://www.tiktok.com/@kitty_kitty_mama</t>
  </si>
  <si>
    <t>和賀理沙</t>
  </si>
  <si>
    <t>09029340523</t>
  </si>
  <si>
    <t>https://www.instagram.com/risa05130523?igsh=MXE4OXVzejlhdHBpag%3D%3D&amp;utm_source=qr</t>
  </si>
  <si>
    <t>https://www.instagram.com/reel/DY5e1Sxz2CI/</t>
  </si>
  <si>
    <t>宮本梨絵</t>
  </si>
  <si>
    <t>08038551204</t>
  </si>
  <si>
    <t>https://www.tiktok.com/@rieora</t>
  </si>
  <si>
    <t>深澤亜矢</t>
  </si>
  <si>
    <t>+81 90-1727-5755</t>
  </si>
  <si>
    <t>https://www.instagram.com/ychan_biyou_?igsh=OHFpcHY4NXR2dWp1&amp;utm_source=qr</t>
  </si>
  <si>
    <t>https://www.instagram.com/reel/DYwxuo4Su7P/?igsh=aDc3NHA5eDFleXFz</t>
  </si>
  <si>
    <t>竹下ジェイミー</t>
  </si>
  <si>
    <t>https://instagram.com/jammmmmmmmmmie5?igshid=YmMyMTA2M2Y=</t>
  </si>
  <si>
    <t>上瀬美和</t>
  </si>
  <si>
    <t>+8190-6559-9938</t>
  </si>
  <si>
    <t xml:space="preserve">http://instagram.com/ichinahappy </t>
  </si>
  <si>
    <t>武田栞奈</t>
  </si>
  <si>
    <t>https://www.instagram.com/kanna_cosme_</t>
  </si>
  <si>
    <r>
      <rPr>
        <u/>
        <sz val="10"/>
        <color rgb="FF1155CC"/>
        <rFont val="Arial"/>
        <family val="2"/>
      </rPr>
      <t>https://lipscosme.com/posts/8715110?_t=zLqY&amp;_r=x9xgvk</t>
    </r>
    <r>
      <rPr>
        <sz val="10"/>
        <rFont val="Arial"/>
        <family val="2"/>
      </rPr>
      <t xml:space="preserve">
</t>
    </r>
    <r>
      <rPr>
        <u/>
        <sz val="10"/>
        <color rgb="FF1155CC"/>
        <rFont val="Arial"/>
        <family val="2"/>
      </rPr>
      <t>https://x.com/dd1214k/status/2057145093271003213?s=46&amp;t=urCy2az_nqAg7oORtLkStg</t>
    </r>
  </si>
  <si>
    <t>寺西かおり</t>
  </si>
  <si>
    <t>https://www.instagram.com/color_cosme_diary/</t>
  </si>
  <si>
    <t>https://www.instagram.com/p/DYwYv2SpefL/</t>
  </si>
  <si>
    <t>岸　晶子</t>
  </si>
  <si>
    <t>+817039901061</t>
  </si>
  <si>
    <t>https://www.instagram.com/mcgroupakiko</t>
  </si>
  <si>
    <t>https://lipscosme.com/posts/8731034</t>
  </si>
  <si>
    <t>https://www.instagram.com/p/DYwq1g_j9hW/?img_index=1</t>
  </si>
  <si>
    <t>冨生レイカ</t>
  </si>
  <si>
    <t>+81-80-4143-4163</t>
  </si>
  <si>
    <t>https://www.instagram.com/conya_reika</t>
  </si>
  <si>
    <t>https://www.instagram.com/p/DYuTyd_Ac3G/?img_index=1</t>
  </si>
  <si>
    <t>上西 麻希</t>
  </si>
  <si>
    <t>08049264478</t>
  </si>
  <si>
    <t xml:space="preserve"> https://instagram.com/_.glowwithin._</t>
  </si>
  <si>
    <t>池内美佳</t>
  </si>
  <si>
    <t>090-5973-7444</t>
  </si>
  <si>
    <t>https://instagram.com/mika_4.1?igshid=OGQ5ZDc2ODk2ZA%3D%3D&amp;utm_source=qr</t>
  </si>
  <si>
    <t>プルドニコワスザンナ</t>
  </si>
  <si>
    <t>+81080-7752-6275</t>
  </si>
  <si>
    <t>https://www.instagram.com/suzy_manjolla?igsh=Ynp0cW82bW5vZHN0&amp;utm_source=qr</t>
  </si>
  <si>
    <t>入佐香澄</t>
  </si>
  <si>
    <t>080-5252-3386</t>
  </si>
  <si>
    <t>https://www.instagram.com/pon_k17/</t>
  </si>
  <si>
    <t>渡壁みなみ</t>
  </si>
  <si>
    <t>＋81-90-1956-6094</t>
  </si>
  <si>
    <t>https://www.instagram.com/www0373</t>
  </si>
  <si>
    <t>磯西舞</t>
  </si>
  <si>
    <t>+817076218871</t>
  </si>
  <si>
    <t>https://www.instagram.com/mainoinstadesu?igsh=Zmp0bWhlcGd5bWp6&amp;utm_source=qr</t>
  </si>
  <si>
    <t>https://lipscosme.com/posts/8724484?_t=zLqY&amp;_r=37JNRN</t>
  </si>
  <si>
    <t>https://www.instagram.com/p/DYryFkMGmf2/?igsh=bWI5eTd3YnZheGRo</t>
  </si>
  <si>
    <t>野本亜紀</t>
  </si>
  <si>
    <t>+8109085898977</t>
  </si>
  <si>
    <t>https://www.instagram.com/tsuki2022111?igsh=c2Y1bDFwZGx2ZDR0&amp;utm_source=qr</t>
  </si>
  <si>
    <t>https://lipscosme.com/posts/8757882?_t=zLqY&amp;_r=mGW648</t>
  </si>
  <si>
    <t>https://www.instagram.com/p/DYj4q7VE3Wd/?igsh=MW9qazhyN2s5ejF1Yg==</t>
  </si>
  <si>
    <t>吉川さやか</t>
  </si>
  <si>
    <t>+819084736938</t>
  </si>
  <si>
    <t>https://instagram.com/_._._.s._._._?utm_medium=copy_link</t>
  </si>
  <si>
    <t>https://lipscosme.com/posts/8725184?_t=zLqY&amp;_r=A4rWep</t>
  </si>
  <si>
    <t>https://www.instagram.com/reel/DYs2hK1BORZ/?igsh=eXF6bDRxYzRha2x3</t>
  </si>
  <si>
    <t>川出智佳子</t>
  </si>
  <si>
    <t>090-7909-9396</t>
  </si>
  <si>
    <t>https://www.tiktok.com/@chika01297</t>
  </si>
  <si>
    <t>岡部　のえ</t>
  </si>
  <si>
    <t>81-080-3271-0227</t>
  </si>
  <si>
    <t xml:space="preserve">https://www.instagram.com/1970snoel </t>
  </si>
  <si>
    <t>https://www.instagram.com/reel/DY4M4jTp1bf/?igsh=MWRjcmFlbG45d3U3ZA==</t>
  </si>
  <si>
    <t>布施川明実</t>
  </si>
  <si>
    <t>08053225411</t>
  </si>
  <si>
    <t>https://www.instagram.com/shotakemi</t>
  </si>
  <si>
    <t>https://www.instagram.com/p/DZFPqzbGH1I/?igsh=YXUyZjExaXNsem13</t>
  </si>
  <si>
    <t>越野真未</t>
  </si>
  <si>
    <t>+81 90 8136 0208</t>
  </si>
  <si>
    <t>https://www.instagram.com/miya0514</t>
  </si>
  <si>
    <t>内田洋子</t>
  </si>
  <si>
    <t>+81-80-9978-8367</t>
  </si>
  <si>
    <t>https://www.instagram.com/gs.yu_na7</t>
  </si>
  <si>
    <t>羽有知恵美</t>
  </si>
  <si>
    <t>+81 090-6515-5569</t>
  </si>
  <si>
    <t>https://www.Instagram.com/aririn0675</t>
  </si>
  <si>
    <t>伊藤志織</t>
  </si>
  <si>
    <t>+81 9069993195</t>
  </si>
  <si>
    <t>https://instagram.com/__shiori__11o</t>
  </si>
  <si>
    <t>https://www.instagram.com/reel/DYw7ABJB76Q/?igsh=MWoxZGRwb2lnb3V1YQ==</t>
  </si>
  <si>
    <t>濱本真佑子</t>
  </si>
  <si>
    <t>08038075800</t>
  </si>
  <si>
    <t>https://www.instagram.com/suzukanoroom?igsh=Znl3ejN5cHN3dGF3</t>
  </si>
  <si>
    <t>https://www.instagram.com/p/DY3nRIEFGr9/?igsh=MXB3MjB3NjlhaXlzdQ==</t>
  </si>
  <si>
    <t>原田道子</t>
  </si>
  <si>
    <t>090-6615-8523</t>
  </si>
  <si>
    <t>https://www.instagram.com/michiko22qp?igsh=MXhkcWVtY2Fhdjdkeg%3D%3D&amp;utm_source=qr</t>
  </si>
  <si>
    <t>茂木有香</t>
  </si>
  <si>
    <t>+8108012459640</t>
  </si>
  <si>
    <t>https://www.instagram.com/moon_happy_yuu?igsh=MXNqeWV0ZzVtMGdyMQ%3D%3D&amp;utm_source=qr</t>
  </si>
  <si>
    <t>https://www.instagram.com/reel/DYxBAYazKj7/?igsh=NDJ6czRiYzg5cGVy</t>
  </si>
  <si>
    <t>宮崎香織</t>
  </si>
  <si>
    <t>+81 9052561479</t>
  </si>
  <si>
    <t>https://www.instagram.com/chan_es123?igsh=anU1MjV6Nm9vOXk1&amp;utm_source=qr</t>
  </si>
  <si>
    <t>https://www.instagram.com/p/DYy8ua9AaZj/?igsh=MWF6ODZjM2F4dDlibg==</t>
  </si>
  <si>
    <t>伊藤友希</t>
  </si>
  <si>
    <t>+8108076140389</t>
  </si>
  <si>
    <t>https://www.instagram.com/yuki_moni12/</t>
  </si>
  <si>
    <r>
      <rPr>
        <u/>
        <sz val="10"/>
        <color rgb="FF1155CC"/>
        <rFont val="Arial"/>
        <family val="2"/>
      </rPr>
      <t xml:space="preserve">https://x.com/yuki_moni12/status/2057384809505386795?s=46
</t>
    </r>
    <r>
      <rPr>
        <u/>
        <sz val="10"/>
        <color rgb="FF1155CC"/>
        <rFont val="Arial"/>
        <family val="2"/>
      </rPr>
      <t>https://snowmoon.site/23yearsold-dermashin-primer-concealer/</t>
    </r>
  </si>
  <si>
    <t>https://www.instagram.com/p/DYmDkTPCWii/?igsh=MW1ycWZhMHVmN3JrMQ==</t>
  </si>
  <si>
    <t>中島麻有</t>
  </si>
  <si>
    <t>+818013381979</t>
  </si>
  <si>
    <t>川村まさみ</t>
  </si>
  <si>
    <t>090-9032-6312</t>
  </si>
  <si>
    <t>https://www.instagram.com/m_k_0817_212615/</t>
  </si>
  <si>
    <t>https://www.instagram.com/p/DYww5oQE22v/?igsh=NTM1ODBvbXY3d2w5</t>
  </si>
  <si>
    <t>ナカノ　フウカ</t>
  </si>
  <si>
    <t>+8201081054157</t>
  </si>
  <si>
    <t>https://www.instagram.com/xx_fuuka_xx?igsh=cnF3ZGlhcWFzNjU3&amp;utm_source=qr</t>
  </si>
  <si>
    <t>https://www.instagram.com/p/DZGnKK6yJiT/?igsh=MWZqazE3MHNzOWsydA==</t>
  </si>
  <si>
    <t>岡野このは</t>
  </si>
  <si>
    <t>+8108040170251</t>
  </si>
  <si>
    <t>www.tiktok.com/@_199012_</t>
  </si>
  <si>
    <t>ヤマサキミユ</t>
  </si>
  <si>
    <t>+81-90-8837-4820</t>
  </si>
  <si>
    <t>https://www.instagram.com/biyou_sakura?igsh=Y2VwYjNnbzFnY3py</t>
  </si>
  <si>
    <t>手取瑞恵</t>
  </si>
  <si>
    <t>+81 9025523981</t>
  </si>
  <si>
    <t>https://www.instagram.com/mipopo.insta?igsh=bXlpZmt4eHJybGM5&amp;utm_source=qr</t>
  </si>
  <si>
    <t>https://x.com/conecosme/status/2057380559010378212?s=46&amp;t=uQaizz7ofYV_C4edtSY2Aw</t>
  </si>
  <si>
    <t>内藤ちえ</t>
  </si>
  <si>
    <t>+819044846654</t>
  </si>
  <si>
    <t>https://www.tiktok.com/@grn_bt</t>
  </si>
  <si>
    <t>三枝麻衣</t>
  </si>
  <si>
    <t>+8108094400055</t>
  </si>
  <si>
    <t>https://www.instagram.com/tmilk1128a?igsh=MWE2ZWwwdjRxZWZrMQ==</t>
  </si>
  <si>
    <t>https://www.instagram.com/p/DYmREViGAyq/?igsh=OG1qd2F2NjI5aWx3</t>
  </si>
  <si>
    <t>鈴木カーレン</t>
  </si>
  <si>
    <t>+818092876999</t>
  </si>
  <si>
    <t>https://www.tiktok.com/@krn22jp</t>
  </si>
  <si>
    <t>小池桂子</t>
  </si>
  <si>
    <t>+8109036166786</t>
  </si>
  <si>
    <t>https://www.instagram.com/polka__beauty?igsh=eDl3OHZ4NzcyeTV2&amp;utm_source=qr</t>
  </si>
  <si>
    <t>https://instagram.com/p/DYmCw_kupZ1/?utm_source=qr</t>
  </si>
  <si>
    <t>田村知香子</t>
  </si>
  <si>
    <t>https://www.tiktok.com/@aim1188?_r=1&amp;_t=ZS-95fQaO8Y6IZ</t>
  </si>
  <si>
    <t>中村瑞穂</t>
  </si>
  <si>
    <t>+818020322857</t>
  </si>
  <si>
    <t>大野玖凜</t>
  </si>
  <si>
    <t>09032471705</t>
  </si>
  <si>
    <r>
      <rPr>
        <u/>
        <sz val="10"/>
        <color rgb="FF1155CC"/>
        <rFont val="Arial"/>
        <family val="2"/>
      </rPr>
      <t xml:space="preserve">https://x.com/crmrim5/status/2057353580210946556?s=46&amp;t=KW8p9n9JCQq3JahhbUT-rA
</t>
    </r>
    <r>
      <rPr>
        <u/>
        <sz val="10"/>
        <color rgb="FF1155CC"/>
        <rFont val="Arial"/>
        <family val="2"/>
      </rPr>
      <t>https://www.cosme.net/reviews/516906683</t>
    </r>
  </si>
  <si>
    <t>https://www.instagram.com/p/DYl1vSJkZKK/?igsh=MXV1aDM3cTk1czFoMg==</t>
  </si>
  <si>
    <t>沼田史子</t>
  </si>
  <si>
    <t>090-6997-1012</t>
  </si>
  <si>
    <t>https://lite.tiktok.com/t/ZSjKGbU7k/</t>
  </si>
  <si>
    <t>https://www.instagram.com/fumiron1012</t>
  </si>
  <si>
    <t>https://x.com/tafumi0212/status/2057956479463014516?s=46&amp;t=UdIJisVmSa0N1s358edexw
https://lipscosme.com/posts/8721697?_t=zLqY&amp;_r=oNR6D</t>
  </si>
  <si>
    <t>https://www.instagram.com/p/DYqBNfNk_t5/?igsh=bHBobjZwYXlobGI4</t>
  </si>
  <si>
    <t>山崎未癒</t>
  </si>
  <si>
    <t>09075843202</t>
  </si>
  <si>
    <t>https://www.instagram.com/3mg_.mg?igsh=MWE3YmQ3YWhtOWUyMQ%3D%3D&amp;utm_source=qr</t>
  </si>
  <si>
    <t>古川奈津子</t>
  </si>
  <si>
    <t>+81-090-3415-2542</t>
  </si>
  <si>
    <t xml:space="preserve">https://www.instagram.com/solaris_cosme </t>
  </si>
  <si>
    <t>井上　未和子</t>
  </si>
  <si>
    <t>080-4493-4296</t>
  </si>
  <si>
    <t>https://www.instagram.com/banyan952?igsh=ZGVsdWprc2I3MWd1&amp;utm_source=qr</t>
  </si>
  <si>
    <t>吉浦茜</t>
  </si>
  <si>
    <t>080-6409-7096</t>
  </si>
  <si>
    <t>梶原有華</t>
  </si>
  <si>
    <t>08099855994</t>
  </si>
  <si>
    <t>https://www.tiktok.com/@aiueousama_01?_r=1&amp;_t=ZS-95kR5zCNNdI</t>
  </si>
  <si>
    <t>橘田さゆり</t>
  </si>
  <si>
    <t>08023618267</t>
  </si>
  <si>
    <t>https://www.tiktok.com/@melty_l53</t>
  </si>
  <si>
    <t>김리호</t>
  </si>
  <si>
    <t>＋82 01033382308</t>
  </si>
  <si>
    <t>https://x.com/bf__1524/status/2055053372865249430?s=46&amp;t=QjCeDsmMqPGK71UCJVThXg</t>
  </si>
  <si>
    <t>最上桃衣</t>
  </si>
  <si>
    <t>08065983272</t>
  </si>
  <si>
    <t>www.tiktok.com/@momo_i23</t>
  </si>
  <si>
    <t>薦田みどり</t>
  </si>
  <si>
    <t>+81 090-5555-1232</t>
  </si>
  <si>
    <t>https://www.tiktok.com/@hairmakemidori?_t=8gy9zRlHXVq&amp;_r=1</t>
  </si>
  <si>
    <t>https://lipscosme.com/posts/8731698?_t=zLqY&amp;_r=D8DrGA</t>
  </si>
  <si>
    <t>https://www.instagram.com/reel/DYwacaoTa6U/?igsh=dnVmZmtlejFyM3B0</t>
  </si>
  <si>
    <t>宮田有里佳</t>
  </si>
  <si>
    <t>08051970181</t>
  </si>
  <si>
    <t>https://www.instagram.com/yuriru_kcosme?igsh=MnNyOGk1dWlteGZv</t>
  </si>
  <si>
    <t>https://x.com/i/status/2058195681643536711</t>
  </si>
  <si>
    <t>https://www.instagram.com/p/DYr1Zb3kkmf/?img_index=3&amp;igsh=YzNkNzNhN3gzNHlv</t>
  </si>
  <si>
    <t>前田アイリン</t>
  </si>
  <si>
    <t>+817035175781</t>
  </si>
  <si>
    <t>https://www.tiktok.com/@ireneemejaresbesi?_t=ZS-8wZueWQYsND&amp;_r=</t>
  </si>
  <si>
    <t>https://www.instagram.com/reel/DYgtQBVy18h/?igsh=dXhuNG1yM3NwNjho</t>
  </si>
  <si>
    <t>Apsana Rayamajhi</t>
  </si>
  <si>
    <t>+818042325948</t>
  </si>
  <si>
    <t>https://www.tiktok.com/@apsanarayamajhi?_r=1&amp;_t=ZS-95w1LSJ64FU</t>
  </si>
  <si>
    <t>Salina Neupane</t>
  </si>
  <si>
    <t>+818093054568</t>
  </si>
  <si>
    <t>https://www.tiktok.com/@salinaneupane13?_r=1&amp;_t=ZS-95wBUcQmHUe</t>
  </si>
  <si>
    <t>https://www.instagram.com/reel/DYt2L4vhBPh/?igsh=cDZydHM2Z3I5OHV1</t>
  </si>
  <si>
    <t>Jennifer Luna</t>
  </si>
  <si>
    <t>+817045680315</t>
  </si>
  <si>
    <t>https://www.tiktok.com/@runajennifer?_r=1&amp;_t=ZS-95wIt925pVk</t>
  </si>
  <si>
    <t>ムスタビシラガファル</t>
  </si>
  <si>
    <t>+817077807386</t>
  </si>
  <si>
    <t>https://www.instagram.com/tir.acle?igsh=ZXR5N3JmbGQyYjd1</t>
  </si>
  <si>
    <r>
      <rPr>
        <u/>
        <sz val="10"/>
        <color rgb="FF1155CC"/>
        <rFont val="Arial"/>
        <family val="2"/>
      </rPr>
      <t xml:space="preserve">https://www.instagram.com/reel/DYj_Kg9zh5e/?igsh=bGNicDJvY2hsMzY2   </t>
    </r>
    <r>
      <rPr>
        <u/>
        <sz val="10"/>
        <color rgb="FF1155CC"/>
        <rFont val="Arial"/>
        <family val="2"/>
      </rPr>
      <t>https://www.instagram.com/reel/DYhEt9az9B5/?igsh=cWIyeTl5bjVodnNk</t>
    </r>
  </si>
  <si>
    <t>Giri Anusha</t>
  </si>
  <si>
    <t>+81 80 6158 8076</t>
  </si>
  <si>
    <t>https://www.tiktok.com/@anushagiri12345?_r=1&amp;_t=ZS-95xaJgVjEFb</t>
  </si>
  <si>
    <t>https://vt.tiktok.com/ZSxmrs2Qp/</t>
  </si>
  <si>
    <t>이채은</t>
  </si>
  <si>
    <t xml:space="preserve">+82 010-9193-3870 </t>
  </si>
  <si>
    <t>https://x.com/pinkuring/status/2062404621646405771</t>
  </si>
  <si>
    <t>エトウハナ</t>
  </si>
  <si>
    <t>＋81 08090564896</t>
  </si>
  <si>
    <t>www.tiktok.com/@hanaozi</t>
  </si>
  <si>
    <t>Ryokucha</t>
  </si>
  <si>
    <t>+818069715580</t>
  </si>
  <si>
    <t>https://www.tiktok.com/@ryokucya13/video/7640405513720630536</t>
  </si>
  <si>
    <t>杉本実貴</t>
  </si>
  <si>
    <t>+819029977423</t>
  </si>
  <si>
    <t>https://x.com/mi_p_etal/status/2058503349901869425?s=46&amp;t=wbfMmNvSj_ohx1b-Uw_Wdg</t>
  </si>
  <si>
    <t>宮田有里佳 ミヤタユリカ</t>
  </si>
  <si>
    <t>+81 80-5197-0181</t>
  </si>
  <si>
    <t>https://www.tiktok.com/@yuriru_kcosme?_r=1&amp;_t=ZS-95i4hEAaDp6</t>
  </si>
  <si>
    <t>渡部久美</t>
  </si>
  <si>
    <t>https://www.tiktok.com/@minoko116</t>
  </si>
  <si>
    <t>舟倉明香</t>
  </si>
  <si>
    <t>https://www.tiktok.com/@funyadayo215</t>
  </si>
  <si>
    <t>https://www.instagram.com/reel/DRhTzz0krgl/?igsh=d2Y4eHF2aW44YXdp</t>
  </si>
  <si>
    <t>佐藤愛</t>
  </si>
  <si>
    <t>090-7506-7884</t>
  </si>
  <si>
    <t>https://www.instagram.com/i.auly__/reels/</t>
  </si>
  <si>
    <t>中尾さきの</t>
  </si>
  <si>
    <t>080-2067-5088</t>
  </si>
  <si>
    <t>https://www.instagram.com/sakino.f/reels/</t>
  </si>
  <si>
    <t>田畑結花</t>
  </si>
  <si>
    <t>080-3137-4610</t>
  </si>
  <si>
    <t>https://www.instagram.com/yuika00802/reels/</t>
  </si>
  <si>
    <t>辰巳奏美</t>
  </si>
  <si>
    <t>080-6583-3015</t>
  </si>
  <si>
    <t>https://www.instagram.com/kanan_cosme/reels/</t>
  </si>
  <si>
    <t>小口那奈子</t>
  </si>
  <si>
    <t>070-8449-4565</t>
  </si>
  <si>
    <t>https://www.instagram.com/iamnanabananaa/reels/</t>
  </si>
  <si>
    <t>浅香菜摘</t>
  </si>
  <si>
    <t>080-1329-6298</t>
  </si>
  <si>
    <t>https://www.instagram.com/_773.a_/reels/</t>
  </si>
  <si>
    <t>菊地亜希子</t>
  </si>
  <si>
    <t>+819093886523</t>
  </si>
  <si>
    <t>大村彩乃</t>
  </si>
  <si>
    <t>+81 08078559940</t>
  </si>
  <si>
    <t>https://www.instagram.com/__ramu00?igsh=MXI4Y3VlYjAwNWFlcw%3D%3D&amp;utm_source=qr</t>
  </si>
  <si>
    <t>https://www.instagram.com/p/DYmZU2BmHug/?igsh=MWN4enl3c3Eya3NqaA==</t>
  </si>
  <si>
    <t>93</t>
  </si>
  <si>
    <t>原菜穂</t>
  </si>
  <si>
    <t>+81 09041763620</t>
  </si>
  <si>
    <t>https://www.instagram.com/naa__cosmetic66?igsh=MXNsemRnMG9od2p5Yw%3D%3D&amp;utm_source=qr</t>
  </si>
  <si>
    <t>嶋田舞奈</t>
  </si>
  <si>
    <t>+81 80-5039-5737</t>
  </si>
  <si>
    <t>https://x.com/maipotetoo/status/2057794526543225096?s=46&amp;t=9m-ToKAiPt8pVNjEJTRkMg</t>
  </si>
  <si>
    <t>田中星来</t>
  </si>
  <si>
    <t>81 080-1348-0512</t>
  </si>
  <si>
    <t>https://x.com/arineluv_v/status/2058185791449547122?s=46&amp;t=pokphD4_-A_i5rvuDlWt9w
https://www.cosme.net/reviews/516915901</t>
  </si>
  <si>
    <t>宮本　清楓</t>
  </si>
  <si>
    <t>08038325353</t>
  </si>
  <si>
    <t>https://www.instagram.com/chibisaya326</t>
  </si>
  <si>
    <t>原田幸江</t>
  </si>
  <si>
    <t>https://www.instagram.com/maimainoinsta</t>
  </si>
  <si>
    <t>松田景子</t>
  </si>
  <si>
    <t>070-4206-0888</t>
  </si>
  <si>
    <t>https://www.instagram.com/mmy_18y</t>
  </si>
  <si>
    <t>藤井まゆか</t>
  </si>
  <si>
    <t>+81 80-1996-4912</t>
  </si>
  <si>
    <t>https://instagram.com/m_beauty_612</t>
  </si>
  <si>
    <t>夏田カロリネ</t>
  </si>
  <si>
    <t>+8109076947878</t>
  </si>
  <si>
    <t>https://www.instagram.com/carolshiga</t>
  </si>
  <si>
    <t>星野瑠利</t>
  </si>
  <si>
    <t>+818077940515</t>
  </si>
  <si>
    <t>https://www.instagram.com/rurirurihime</t>
  </si>
  <si>
    <t>https://youtube.com/shorts/PIv8XvKJ1mE?si=twNOXX7wBdDDkjct</t>
  </si>
  <si>
    <t>https://www.instagram.com/reel/DYnrx3CvxaT/?igsh=MTBpMjI0NGExcm9sdA==</t>
  </si>
  <si>
    <t>1811</t>
  </si>
  <si>
    <t>小寺麻美</t>
  </si>
  <si>
    <t>+819041331397</t>
  </si>
  <si>
    <t>https://www.instagram.com/asamikodera/</t>
  </si>
  <si>
    <t>https://lipscosme.com/posts/8754469?_t=zLqY&amp;_r=k4n5Nz%E2%81%A1%20%E2%81%A1%E2%81%A1</t>
  </si>
  <si>
    <t>https://www.instagram.com/reel/DZALaE1zegO/?igsh=MTUycWVnZzMybTlmZQ==</t>
  </si>
  <si>
    <t>町田麻未</t>
  </si>
  <si>
    <t>+8108054628237</t>
  </si>
  <si>
    <t>https://www.instagram.com/mimima49/</t>
  </si>
  <si>
    <t>https://www.instagram.com/p/DYvTIkpE1i3/?igsh=NXY2YTg3emI3MnQ4</t>
  </si>
  <si>
    <t>渡邉那月</t>
  </si>
  <si>
    <t>+8109020813909</t>
  </si>
  <si>
    <t>https://www.instagram.com/ntk.watanabe</t>
  </si>
  <si>
    <t>https://www.instagram.com/p/DZHrCULEvHh/?igsh=d2I3ZHFobHU5YTM3</t>
  </si>
  <si>
    <t>邦木奈帆</t>
  </si>
  <si>
    <t>09044002246</t>
  </si>
  <si>
    <t>https://www.instagram.com/mua.naho/</t>
  </si>
  <si>
    <t>長谷川ちひろ</t>
  </si>
  <si>
    <t>+819082028710</t>
  </si>
  <si>
    <t>https://www.instagram.com/chihiro3xoxo?igsh=MXRwdHhsejMxOGJpbg%3D%3D&amp;utm_source=qr</t>
  </si>
  <si>
    <t>大山 優里</t>
  </si>
  <si>
    <t>＋818035284771</t>
  </si>
  <si>
    <t>https://www.instagram.com/yuuri.golf?igsh=MW5naWRjeTN6N21nMQ%3D%3D&amp;utm_source=qr</t>
  </si>
  <si>
    <t>田中 恵里奈</t>
  </si>
  <si>
    <t>090-1449-3832</t>
  </si>
  <si>
    <t>https://www.instagram.com/errrrrrr_1717?igsh=cGZueTAxaXJ6YWl6&amp;utm_source=qr</t>
  </si>
  <si>
    <t>廣田　千春</t>
  </si>
  <si>
    <t>+8109095050419</t>
  </si>
  <si>
    <t>https://www.instagram.com/sa_tin37/</t>
  </si>
  <si>
    <t>大村優里</t>
  </si>
  <si>
    <t>+819051235159</t>
  </si>
  <si>
    <t>https://www.instagram.com/ir_uuy/</t>
  </si>
  <si>
    <t>https://lipscosme.com/posts/8726517?_t=zLqY&amp;_r=k2G83</t>
  </si>
  <si>
    <t>https://www.instagram.com/p/DYttp-2gUed/?igsh=MjR5c3Q3Y3R1a3J4</t>
  </si>
  <si>
    <t>斉藤　千恵</t>
  </si>
  <si>
    <t>+81-080-3456-7244</t>
  </si>
  <si>
    <t>https://www.instagram.com/after_dinner0719/</t>
  </si>
  <si>
    <r>
      <rPr>
        <u/>
        <sz val="10"/>
        <color rgb="FF1155CC"/>
        <rFont val="Arial"/>
        <family val="2"/>
      </rPr>
      <t xml:space="preserve">https://lipscosme.com/posts/8762921?_t=zLqY&amp;_r=6eJ4nN　　
</t>
    </r>
    <r>
      <rPr>
        <u/>
        <sz val="10"/>
        <color rgb="FF1155CC"/>
        <rFont val="Arial"/>
        <family val="2"/>
      </rPr>
      <t>https://www.cosme.net/reviews/516071485</t>
    </r>
  </si>
  <si>
    <t>https://www.instagram.com/p/DZG1oMkCd8k/?igsh=MWVsZzlibjAxeXhneg==</t>
  </si>
  <si>
    <t>平国　遥</t>
  </si>
  <si>
    <t>81-070-4414-6611</t>
  </si>
  <si>
    <t>https://instagram.com/shishimaru383838?igshid=OGQ5ZDc2ODk2ZA</t>
  </si>
  <si>
    <t>https://lipscosme.com/posts/8743815?_t=zLqY&amp;_r=ogGBqk
https://x.com/i/status/2060031848756191671</t>
  </si>
  <si>
    <t>https://www.instagram.com/p/DY43rokj9kj/?igsh=c2VkaXg5NHFvNmdp</t>
  </si>
  <si>
    <t>髙田歩花</t>
  </si>
  <si>
    <t>+81 07022965065</t>
  </si>
  <si>
    <t>星野さくら</t>
  </si>
  <si>
    <t>080-1093-5784</t>
  </si>
  <si>
    <t>https://www.instagram.com/koishikawaren</t>
  </si>
  <si>
    <t>芳仲奈緒美</t>
  </si>
  <si>
    <t>07092263683</t>
  </si>
  <si>
    <t>https://www.instagram.com/catea997?igsh=MXNycnIxNWh4bG5jeA==</t>
  </si>
  <si>
    <t>https://lipscosme.com/posts/8703472?_t=zLqY&amp;_r=MllMb8</t>
  </si>
  <si>
    <t>https://www.instagram.com/p/DYbgfDQkVuK/?igsh=aWx6enk2Z2ljejNh</t>
  </si>
  <si>
    <t>沖有紗</t>
  </si>
  <si>
    <t xml:space="preserve">080-6347-0211    </t>
  </si>
  <si>
    <t>https://www.instagram.com/ryo724__?igsh=dzl6a3hnbXF3Nmlw&amp;utm_source=qr</t>
  </si>
  <si>
    <t>後藤玲実</t>
  </si>
  <si>
    <t>+81-090-7703-7191</t>
  </si>
  <si>
    <t>https://www.instagram.com/150cm_remi?igsh=aDU2M2MyMGF0eWNn&amp;utm_source=qr</t>
  </si>
  <si>
    <t>かさくらみゆき</t>
  </si>
  <si>
    <t>+82 01033049117</t>
  </si>
  <si>
    <t>並木まき</t>
  </si>
  <si>
    <t>050-6881-3440</t>
  </si>
  <si>
    <t xml:space="preserve">https://www.instagram.com/picmaki/ </t>
  </si>
  <si>
    <t>大城えりか</t>
  </si>
  <si>
    <t>09037964540</t>
  </si>
  <si>
    <t>https://www.instagram.com/p/DYjbbZ3gZLZ/?igsh=b21qbjB5M3Y4MDV6</t>
  </si>
  <si>
    <t>宮治叶実</t>
  </si>
  <si>
    <t>+81080-6107-2593</t>
  </si>
  <si>
    <t>柳澤朱香</t>
  </si>
  <si>
    <t>08014783752</t>
  </si>
  <si>
    <t>https://www.instagram.com/positivewoman0831?igsh=MW8zYnZ1am1xdnZmNw%3D%3D&amp;utm_source=qr</t>
  </si>
  <si>
    <t>大同名南子</t>
  </si>
  <si>
    <t>+818086946847</t>
  </si>
  <si>
    <t>https://www.instagram.com/nanako_beauty?igsh=MXZtc2x5Ym82M3U%3D&amp;utm_source=qr</t>
  </si>
  <si>
    <t>高橋陽美</t>
  </si>
  <si>
    <t>090-4004-6489</t>
  </si>
  <si>
    <t>https://www.instagram.com/yangmi_219?igsh=MTdzNjFmOXp3anZxbQ%3D%3D&amp;utm_source=qr</t>
  </si>
  <si>
    <t>https://www.instagram.com/p/DZJXKwFFOkj/?igsh=MTZ6MjNod25sdTljZw%3D%3D</t>
  </si>
  <si>
    <t>鈴木まい</t>
  </si>
  <si>
    <t>09045958885</t>
  </si>
  <si>
    <t>https://www.instagram.com/luveverjp?igsh=azVhNDNoZmZ3b2c3&amp;utm_source=qr</t>
  </si>
  <si>
    <t>https://www.instagram.com/p/DYhYURimWdr/?igsh=ZHBvcDN6b3Zudzg3</t>
  </si>
  <si>
    <t>松岡まどか</t>
  </si>
  <si>
    <t>+818080126988</t>
  </si>
  <si>
    <t xml:space="preserve">https://www.instagram.com/____nemumi____/  </t>
  </si>
  <si>
    <t>https://lipscosme.com/posts/8720670?_t=zLqY&amp;_r=RQlNMb</t>
  </si>
  <si>
    <t>https://www.instagram.com/p/DYo8WlVk8Q9/?igsh=MXB4ZWQwcWJxa295Mg==</t>
  </si>
  <si>
    <t>中畑 夏海</t>
  </si>
  <si>
    <t>+81 8088335093</t>
  </si>
  <si>
    <t>https://x.com/wgmpaw_/status/2057342271604093035?s=46&amp;t=3h4BRu3_4-GB8HqQ41gzVw</t>
  </si>
  <si>
    <t>https://www.instagram.com/p/DYlyUGvEuoj/?igsh=MWNvdGR0ZXJrMzl0cw==</t>
  </si>
  <si>
    <t>西丸葵</t>
  </si>
  <si>
    <t>+81 80-6585-2140</t>
  </si>
  <si>
    <t>https://x.com/marmarumaruu/status/2058899043376562617?s=46&amp;t=OxhTQbe190vk1kDE-7hPZA
https://lipscosme.com/posts/8731476?_t=zLqY&amp;_r=d5aa0k</t>
  </si>
  <si>
    <t>狩野裕美</t>
  </si>
  <si>
    <t>+81-80-2694-2620</t>
  </si>
  <si>
    <t>https://www.instagram.com/lhboo__</t>
  </si>
  <si>
    <t>https://lipscosme.com/posts/8732617?_t=zLqY&amp;_r=P75d3Z</t>
  </si>
  <si>
    <t>https://www.instagram.com/p/DYyDsb_E9iL/?igsh=MW43ZWt6a2ZvejUzbQ==</t>
  </si>
  <si>
    <t>島津仁美</t>
  </si>
  <si>
    <t>+81-90-5218-3973</t>
  </si>
  <si>
    <t>https://www.instagram.com/hittan08/</t>
  </si>
  <si>
    <t>鈴木杏奈</t>
  </si>
  <si>
    <t>+8109063015367</t>
  </si>
  <si>
    <t>https://x.com/ricepakupaku_an/status/2058680580120920452?s=46&amp;t=z-r4j8JEpw32Zl0pLTRM8A</t>
  </si>
  <si>
    <t>鈴木みか(スズキミカ)</t>
  </si>
  <si>
    <t>+818051242787</t>
  </si>
  <si>
    <t>https://x.com/pimi_log/status/2058529984243991003?s=46&amp;t=yZxmCRxuu-ngc-YiBv6stA</t>
  </si>
  <si>
    <t>https://www.instagram.com/p/DYuNXRjEQvs/?img_index=1&amp;igsh=MWcxazhudnZ1b3Z1Zw==</t>
  </si>
  <si>
    <t>土屋 はるか</t>
  </si>
  <si>
    <t>＋81 )70-3772-2525</t>
  </si>
  <si>
    <t>下山裕子</t>
  </si>
  <si>
    <t>080-4898-1641</t>
  </si>
  <si>
    <t>古谷梨菜子</t>
  </si>
  <si>
    <t>https://x.com/___nyaaamaa/status/2058859931659620511?s=46&amp;t=xEsnu73SynUqGv-sdiLk3g</t>
  </si>
  <si>
    <t>赤見 茉佑子</t>
  </si>
  <si>
    <t>080-1298-0989</t>
  </si>
  <si>
    <t xml:space="preserve">https://www.instagram.com/tunagu_79?igsh=cDVyd3o3N2Q0eG9l&amp;utm_source=qr
</t>
  </si>
  <si>
    <t>https://x.com/alxamy_red/status/2058874526302458274?s=46</t>
  </si>
  <si>
    <t>野崎実桜</t>
  </si>
  <si>
    <t>＋81-90-6171-7892</t>
  </si>
  <si>
    <t>https://www.instagram.com/makeup_mio_/</t>
  </si>
  <si>
    <t>https://www.instagram.com/reel/DYzAOAVPNyz/?igsh=aWExMjBvb280NXk0</t>
  </si>
  <si>
    <t>藤井瑞穂</t>
  </si>
  <si>
    <t>+81 08014922609</t>
  </si>
  <si>
    <t>https://www.instagram.com/m_z_h_810/</t>
  </si>
  <si>
    <t>https://www.instagram.com/reel/DZHPUMABBl_/?igsh=MXRlaG1nYnlic29wNw==</t>
  </si>
  <si>
    <t>長澤直美</t>
  </si>
  <si>
    <t>+81-551-22-4807</t>
  </si>
  <si>
    <t>https://www.instagram.com/naohime20/</t>
  </si>
  <si>
    <t>内徳真白</t>
  </si>
  <si>
    <t>+81 8087323093</t>
  </si>
  <si>
    <t>https://x.com/shiro_cosme/status/2058149160696893795?s=20
https://lipscosme.com/posts/8723795</t>
  </si>
  <si>
    <t>https://www.instagram.com/p/DYrfXbxlLlW/?img_index=1</t>
  </si>
  <si>
    <t>吉田早希</t>
  </si>
  <si>
    <t>090-5153-6523</t>
  </si>
  <si>
    <t>https://www.instagram.com/sayona_beauty8?igsh=aWNtZWFvOGoyYXA%3D&amp;utm_source=qr</t>
  </si>
  <si>
    <t>下田真由美</t>
  </si>
  <si>
    <t>81-090-9247-5785</t>
  </si>
  <si>
    <t>https://www.instagram.com/sanabi_37b</t>
  </si>
  <si>
    <t>三木ちあき</t>
  </si>
  <si>
    <t>09053620103</t>
  </si>
  <si>
    <t>https://x.com/shirotan_1023/status/2056371109424156748?s=46</t>
  </si>
  <si>
    <t>富田愛</t>
  </si>
  <si>
    <t>09097792208</t>
  </si>
  <si>
    <r>
      <rPr>
        <u/>
        <sz val="10"/>
        <color rgb="FF1155CC"/>
        <rFont val="Arial"/>
        <family val="2"/>
      </rPr>
      <t xml:space="preserve">https://x.com/hachi_80design/status/2057066897611608111?s=46&amp;t=yamuX82uQ5FQU2XKXt2_Hw
</t>
    </r>
    <r>
      <rPr>
        <u/>
        <sz val="10"/>
        <color rgb="FF1155CC"/>
        <rFont val="Arial"/>
        <family val="2"/>
      </rPr>
      <t>https://lipscosme.com/posts/8712181?_t=zLqY&amp;_r=ze02Pz</t>
    </r>
  </si>
  <si>
    <t>https://www.instagram.com/p/DYhPyL9DHCH/?igsh=MTU2ZG9tZ2x1anI0Zg==</t>
  </si>
  <si>
    <t>山原あかね</t>
  </si>
  <si>
    <t>林瑞季(ハヤシミズキ)</t>
  </si>
  <si>
    <t>080-2983-8720</t>
  </si>
  <si>
    <t>https://www.instagram.com/miru_cosme_?igsh=MWxtMXhhenh0dzEycA%3D%3D&amp;utm_source=qr</t>
  </si>
  <si>
    <t>https://x.com/miru_cosme_/status/2056710542447042873?s=46&amp;t=qf62oEwPQSJfq803FQyQog</t>
  </si>
  <si>
    <t>https://www.instagram.com/p/DYhRr2PgeKe/?igsh=djcwbzRjOXJ1bjZv</t>
  </si>
  <si>
    <t>小関まな</t>
  </si>
  <si>
    <t>+81-80-4137-1334</t>
  </si>
  <si>
    <t>https://x.com/3way_2way/status/2060349426301010305?s=46</t>
  </si>
  <si>
    <t>浜田真帆</t>
  </si>
  <si>
    <t>+81 09056485998</t>
  </si>
  <si>
    <t>https://www.instagram.com/p/DYtkjHGCctq/?igsh=bm95ZTFjNWFxdTd5</t>
  </si>
  <si>
    <t>ニシヤマ サナ</t>
  </si>
  <si>
    <t>＋8180-5627-6520</t>
  </si>
  <si>
    <t>https://x.com/3nchu_/status/2061392116799205423?s=46&amp;t=Z0mFWweIRC_v8B40KrwNGw</t>
  </si>
  <si>
    <t>佐田史子</t>
  </si>
  <si>
    <t>+81 09060232350</t>
  </si>
  <si>
    <t>https://x.com/moco__cosme/status/2060212895343161413?s=46&amp;t=K6Y-K-3DyhqUHfvhzhUPfg</t>
  </si>
  <si>
    <t>犬飼未悠</t>
  </si>
  <si>
    <t>08026401223</t>
  </si>
  <si>
    <t>https://x.com/m_dental_m/status/2062729560135987393?s=46&amp;t=E9OBXckTeO0976WfX24JRw</t>
  </si>
  <si>
    <t>카미야레이카</t>
  </si>
  <si>
    <t>+82 010 6874 0405</t>
  </si>
  <si>
    <t>https://x.com/rmomxm/status/2061377620747669565?s=46</t>
  </si>
  <si>
    <t>https://www.tiktok.com/@mirua_arumi?_r=1&amp;_t=ZS-95sh05nk0yD</t>
  </si>
  <si>
    <t>井上 ありす</t>
  </si>
  <si>
    <t>+8109090326312</t>
  </si>
  <si>
    <t>+819047939511</t>
  </si>
  <si>
    <t>+818076140389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</si>
</sst>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yyyy\-mm\-dd"/>
    <numFmt numFmtId="177" formatCode="m/d/yyyy\ h:mm:ss"/>
    <numFmt numFmtId="178" formatCode="m&quot;월&quot;\ d&quot;일&quot;"/>
    <numFmt numFmtId="179" formatCode="mm/dd"/>
    <numFmt numFmtId="180" formatCode="#,##0&quot;₩&quot;"/>
    <numFmt numFmtId="181" formatCode="yyyy\.\ m\.\ d"/>
    <numFmt numFmtId="182" formatCode="yyyy/mm/dd"/>
    <numFmt numFmtId="183" formatCode="yyyy&quot;/&quot;mm&quot;/&quot;dd"/>
  </numFmts>
  <fonts count="252">
    <font>
      <sz val="10"/>
      <color rgb="FF000000"/>
      <name val="Arial"/>
      <scheme val="minor"/>
    </font>
    <font>
      <b/>
      <sz val="25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5"/>
      <color theme="1"/>
      <name val="Arial"/>
      <family val="2"/>
    </font>
    <font>
      <b/>
      <sz val="13"/>
      <color theme="1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1A1A1A"/>
      <name val="Arial"/>
      <family val="2"/>
    </font>
    <font>
      <sz val="11"/>
      <color theme="1"/>
      <name val="&quot;Noto Sans KR&quot;"/>
    </font>
    <font>
      <b/>
      <sz val="11"/>
      <color rgb="FF1E3A8A"/>
      <name val="&quot;Noto Sans KR&quot;"/>
    </font>
    <font>
      <sz val="10"/>
      <color theme="1"/>
      <name val="&quot;Noto Sans KR&quot;"/>
    </font>
    <font>
      <u/>
      <sz val="9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sz val="9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434343"/>
      <name val="Roboto"/>
    </font>
    <font>
      <sz val="10"/>
      <color theme="1"/>
      <name val="Roboto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2"/>
      <color rgb="FF0000FF"/>
      <name val="&quot;Noto Sans KR&quot;"/>
    </font>
    <font>
      <u/>
      <sz val="10"/>
      <color rgb="FF434343"/>
      <name val="Roboto"/>
    </font>
    <font>
      <u/>
      <sz val="10"/>
      <color theme="1"/>
      <name val="Roboto"/>
    </font>
    <font>
      <u/>
      <sz val="10"/>
      <color rgb="FF1155CC"/>
      <name val="Arial"/>
      <family val="2"/>
    </font>
    <font>
      <sz val="9"/>
      <color theme="1"/>
      <name val="Arial"/>
      <family val="2"/>
      <scheme val="minor"/>
    </font>
    <font>
      <sz val="12"/>
      <color theme="1"/>
      <name val="&quot;Noto Sans KR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sz val="11"/>
      <color theme="1"/>
      <name val="Calibri"/>
      <family val="2"/>
    </font>
    <font>
      <b/>
      <sz val="9"/>
      <color rgb="FF1A1A1A"/>
      <name val="Arial"/>
      <family val="2"/>
    </font>
    <font>
      <u/>
      <sz val="10"/>
      <color rgb="FF434343"/>
      <name val="Roboto"/>
    </font>
    <font>
      <u/>
      <sz val="10"/>
      <color theme="1"/>
      <name val="Roboto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u/>
      <sz val="10"/>
      <color theme="1"/>
      <name val="Roboto"/>
    </font>
    <font>
      <b/>
      <sz val="10"/>
      <color rgb="FF434343"/>
      <name val="Roboto"/>
    </font>
    <font>
      <sz val="11"/>
      <color rgb="FF0C1014"/>
      <name val="Arial"/>
      <family val="2"/>
    </font>
    <font>
      <sz val="11"/>
      <color rgb="FF0C1014"/>
      <name val="System-ui"/>
    </font>
    <font>
      <b/>
      <sz val="13"/>
      <color theme="1"/>
      <name val="Arial"/>
      <family val="2"/>
      <scheme val="minor"/>
    </font>
    <font>
      <b/>
      <sz val="10"/>
      <color theme="1"/>
      <name val="Roboto"/>
    </font>
    <font>
      <sz val="10"/>
      <color rgb="FF1F1F1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1"/>
      <color rgb="FF0000FF"/>
      <name val="&quot;Noto Sans KR&quot;"/>
    </font>
    <font>
      <u/>
      <sz val="10"/>
      <color theme="1"/>
      <name val="Roboto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u/>
      <sz val="10"/>
      <color rgb="FF434343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sz val="10"/>
      <color rgb="FF1E3A8A"/>
      <name val="&quot;Noto Sans KR&quot;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theme="1"/>
      <name val="Arial"/>
      <family val="2"/>
      <scheme val="minor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u/>
      <sz val="10"/>
      <color theme="1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Arial"/>
      <family val="2"/>
    </font>
    <font>
      <u/>
      <sz val="10"/>
      <color theme="1"/>
      <name val="Arial"/>
      <family val="2"/>
    </font>
    <font>
      <b/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sz val="10"/>
      <color rgb="FF1F1F1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Arial"/>
      <family val="2"/>
    </font>
    <font>
      <u/>
      <sz val="10"/>
      <color rgb="FF434343"/>
      <name val="Roboto"/>
    </font>
    <font>
      <u/>
      <sz val="10"/>
      <color rgb="FF434343"/>
      <name val="Arial"/>
      <family val="2"/>
    </font>
    <font>
      <u/>
      <sz val="10"/>
      <color theme="1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theme="1"/>
      <name val="Roboto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theme="1"/>
      <name val="Roboto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b/>
      <u/>
      <sz val="10"/>
      <color rgb="FF434343"/>
      <name val="Roboto"/>
    </font>
    <font>
      <u/>
      <sz val="10"/>
      <color rgb="FF434343"/>
      <name val="Roboto"/>
    </font>
    <font>
      <u/>
      <sz val="10"/>
      <color theme="1"/>
      <name val="Roboto"/>
    </font>
    <font>
      <u/>
      <sz val="10"/>
      <color rgb="FF0000FF"/>
      <name val="Arial"/>
      <family val="2"/>
    </font>
    <font>
      <u/>
      <sz val="10"/>
      <color rgb="FF434343"/>
      <name val="Arial"/>
      <family val="2"/>
    </font>
    <font>
      <u/>
      <sz val="10"/>
      <color rgb="FF434343"/>
      <name val="Roboto"/>
    </font>
    <font>
      <u/>
      <sz val="10"/>
      <color theme="1"/>
      <name val="Roboto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b/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Roboto"/>
    </font>
    <font>
      <u/>
      <sz val="10"/>
      <color rgb="FF434343"/>
      <name val="Roboto"/>
    </font>
    <font>
      <u/>
      <sz val="10"/>
      <color rgb="FF1155CC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b/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b/>
      <u/>
      <sz val="10"/>
      <color rgb="FF434343"/>
      <name val="Roboto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rgb="FF1155CC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b/>
      <u/>
      <sz val="10"/>
      <color rgb="FF434343"/>
      <name val="Roboto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b/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1"/>
      <color theme="1"/>
      <name val="Arial"/>
      <family val="2"/>
    </font>
    <font>
      <sz val="10"/>
      <color theme="1"/>
      <name val="NotoSansJP"/>
    </font>
    <font>
      <u/>
      <sz val="10"/>
      <color rgb="FF1155CC"/>
      <name val="Arial"/>
      <family val="2"/>
    </font>
    <font>
      <sz val="11"/>
      <color theme="1"/>
      <name val="NotoSansJP"/>
    </font>
    <font>
      <b/>
      <sz val="9"/>
      <color theme="1"/>
      <name val="Hiragino Kaku Gothic Pro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1155CC"/>
      <name val="Roboto"/>
    </font>
    <font>
      <sz val="10"/>
      <color theme="1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9"/>
      <color rgb="FF1155CC"/>
      <name val="Noto Sans KR"/>
    </font>
    <font>
      <sz val="9"/>
      <color theme="1"/>
      <name val="Hiragino Kaku Gothic Pro"/>
    </font>
    <font>
      <b/>
      <sz val="9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Noto Sans KR"/>
    </font>
    <font>
      <u/>
      <sz val="10"/>
      <color rgb="FF1155CC"/>
      <name val="Noto Sans KR"/>
    </font>
    <font>
      <u/>
      <sz val="10"/>
      <color rgb="FF0000FF"/>
      <name val="Roboto"/>
    </font>
    <font>
      <u/>
      <sz val="10"/>
      <color rgb="FF1F1F1F"/>
      <name val="Arial"/>
      <family val="2"/>
    </font>
    <font>
      <sz val="8"/>
      <name val="Arial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555555"/>
        <bgColor rgb="FF555555"/>
      </patternFill>
    </fill>
    <fill>
      <patternFill patternType="solid">
        <fgColor rgb="FF2D2D2D"/>
        <bgColor rgb="FF2D2D2D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0F5F2"/>
        <bgColor rgb="FFF0F5F2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3F5F7"/>
        <bgColor rgb="FFF3F5F7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5F5F2"/>
        <bgColor rgb="FFF5F5F2"/>
      </patternFill>
    </fill>
  </fills>
  <borders count="23">
    <border>
      <left/>
      <right/>
      <top/>
      <bottom/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 style="thin">
        <color rgb="FFFFFFFF"/>
      </left>
      <right style="thin">
        <color rgb="FFFFFFFF"/>
      </right>
      <top/>
      <bottom style="thin">
        <color rgb="FF442F65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FFFFFF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/>
      <right/>
      <top style="thin">
        <color rgb="FFF8F9FA"/>
      </top>
      <bottom/>
      <diagonal/>
    </border>
    <border>
      <left/>
      <right style="thin">
        <color rgb="FFFFFFFF"/>
      </right>
      <top/>
      <bottom style="thin">
        <color rgb="FF442F65"/>
      </bottom>
      <diagonal/>
    </border>
    <border>
      <left style="thin">
        <color rgb="FFFFFFFF"/>
      </left>
      <right style="thin">
        <color rgb="FFFFFFFF"/>
      </right>
      <top/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9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5" borderId="0" xfId="0" applyFont="1" applyFill="1" applyAlignment="1">
      <alignment horizontal="center"/>
    </xf>
    <xf numFmtId="3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7" fillId="7" borderId="4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10" fillId="9" borderId="0" xfId="0" applyFont="1" applyFill="1" applyAlignment="1">
      <alignment horizontal="right"/>
    </xf>
    <xf numFmtId="0" fontId="10" fillId="9" borderId="0" xfId="0" applyFont="1" applyFill="1"/>
    <xf numFmtId="0" fontId="10" fillId="9" borderId="4" xfId="0" applyFont="1" applyFill="1" applyBorder="1"/>
    <xf numFmtId="0" fontId="3" fillId="10" borderId="0" xfId="0" applyFont="1" applyFill="1"/>
    <xf numFmtId="0" fontId="6" fillId="5" borderId="0" xfId="0" applyFont="1" applyFill="1"/>
    <xf numFmtId="0" fontId="11" fillId="11" borderId="4" xfId="0" applyFont="1" applyFill="1" applyBorder="1" applyAlignment="1">
      <alignment horizontal="center"/>
    </xf>
    <xf numFmtId="3" fontId="3" fillId="0" borderId="0" xfId="0" applyNumberFormat="1" applyFont="1" applyAlignment="1">
      <alignment horizontal="left"/>
    </xf>
    <xf numFmtId="0" fontId="3" fillId="5" borderId="0" xfId="0" applyFont="1" applyFill="1"/>
    <xf numFmtId="0" fontId="10" fillId="12" borderId="0" xfId="0" applyFont="1" applyFill="1" applyAlignment="1">
      <alignment horizontal="right"/>
    </xf>
    <xf numFmtId="0" fontId="11" fillId="11" borderId="4" xfId="0" applyFont="1" applyFill="1" applyBorder="1"/>
    <xf numFmtId="0" fontId="9" fillId="13" borderId="0" xfId="0" applyFont="1" applyFill="1" applyAlignment="1">
      <alignment horizontal="center"/>
    </xf>
    <xf numFmtId="0" fontId="10" fillId="12" borderId="4" xfId="0" applyFont="1" applyFill="1" applyBorder="1"/>
    <xf numFmtId="176" fontId="11" fillId="11" borderId="4" xfId="0" applyNumberFormat="1" applyFont="1" applyFill="1" applyBorder="1" applyAlignment="1">
      <alignment horizontal="center"/>
    </xf>
    <xf numFmtId="58" fontId="12" fillId="0" borderId="0" xfId="0" applyNumberFormat="1" applyFont="1" applyAlignment="1">
      <alignment horizontal="center"/>
    </xf>
    <xf numFmtId="20" fontId="13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14" borderId="0" xfId="0" applyFont="1" applyFill="1" applyAlignment="1">
      <alignment horizontal="center"/>
    </xf>
    <xf numFmtId="0" fontId="15" fillId="11" borderId="4" xfId="0" applyFont="1" applyFill="1" applyBorder="1"/>
    <xf numFmtId="0" fontId="9" fillId="10" borderId="0" xfId="0" applyFont="1" applyFill="1"/>
    <xf numFmtId="0" fontId="3" fillId="15" borderId="0" xfId="0" applyFont="1" applyFill="1" applyAlignment="1">
      <alignment horizontal="center"/>
    </xf>
    <xf numFmtId="0" fontId="3" fillId="15" borderId="0" xfId="0" applyFont="1" applyFill="1"/>
    <xf numFmtId="0" fontId="9" fillId="15" borderId="0" xfId="0" applyFont="1" applyFill="1" applyAlignment="1">
      <alignment horizontal="center"/>
    </xf>
    <xf numFmtId="0" fontId="16" fillId="14" borderId="0" xfId="0" applyFont="1" applyFill="1"/>
    <xf numFmtId="0" fontId="9" fillId="15" borderId="0" xfId="0" applyFont="1" applyFill="1"/>
    <xf numFmtId="0" fontId="17" fillId="15" borderId="0" xfId="0" applyFont="1" applyFill="1"/>
    <xf numFmtId="0" fontId="18" fillId="15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0" fontId="11" fillId="15" borderId="4" xfId="0" applyFont="1" applyFill="1" applyBorder="1" applyAlignment="1">
      <alignment horizontal="center"/>
    </xf>
    <xf numFmtId="3" fontId="10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11" fillId="15" borderId="4" xfId="0" applyFont="1" applyFill="1" applyBorder="1"/>
    <xf numFmtId="176" fontId="11" fillId="15" borderId="4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14" fontId="21" fillId="0" borderId="0" xfId="0" applyNumberFormat="1" applyFont="1" applyAlignment="1">
      <alignment horizontal="right"/>
    </xf>
    <xf numFmtId="0" fontId="22" fillId="0" borderId="0" xfId="0" applyFont="1"/>
    <xf numFmtId="0" fontId="11" fillId="16" borderId="4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11" fillId="16" borderId="4" xfId="0" applyFont="1" applyFill="1" applyBorder="1"/>
    <xf numFmtId="0" fontId="23" fillId="14" borderId="0" xfId="0" applyFont="1" applyFill="1"/>
    <xf numFmtId="0" fontId="24" fillId="0" borderId="0" xfId="0" applyFont="1"/>
    <xf numFmtId="0" fontId="25" fillId="0" borderId="0" xfId="0" applyFont="1"/>
    <xf numFmtId="58" fontId="26" fillId="0" borderId="5" xfId="0" applyNumberFormat="1" applyFont="1" applyBorder="1" applyAlignment="1">
      <alignment horizontal="center"/>
    </xf>
    <xf numFmtId="0" fontId="9" fillId="0" borderId="0" xfId="0" quotePrefix="1" applyFont="1" applyAlignment="1">
      <alignment horizontal="center"/>
    </xf>
    <xf numFmtId="20" fontId="26" fillId="0" borderId="5" xfId="0" applyNumberFormat="1" applyFont="1" applyBorder="1" applyAlignment="1">
      <alignment horizontal="center"/>
    </xf>
    <xf numFmtId="0" fontId="9" fillId="15" borderId="0" xfId="0" quotePrefix="1" applyFont="1" applyFill="1" applyAlignment="1">
      <alignment horizontal="center"/>
    </xf>
    <xf numFmtId="0" fontId="27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8" fillId="0" borderId="0" xfId="0" applyFont="1"/>
    <xf numFmtId="0" fontId="29" fillId="15" borderId="0" xfId="0" applyFont="1" applyFill="1"/>
    <xf numFmtId="0" fontId="30" fillId="14" borderId="0" xfId="0" applyFont="1" applyFill="1" applyAlignment="1">
      <alignment horizontal="center"/>
    </xf>
    <xf numFmtId="0" fontId="31" fillId="14" borderId="5" xfId="0" applyFont="1" applyFill="1" applyBorder="1"/>
    <xf numFmtId="0" fontId="32" fillId="0" borderId="0" xfId="0" applyFont="1"/>
    <xf numFmtId="58" fontId="9" fillId="0" borderId="0" xfId="0" applyNumberFormat="1" applyFont="1" applyAlignment="1">
      <alignment horizontal="center"/>
    </xf>
    <xf numFmtId="20" fontId="9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14" fontId="26" fillId="0" borderId="5" xfId="0" applyNumberFormat="1" applyFont="1" applyBorder="1" applyAlignment="1">
      <alignment horizontal="center"/>
    </xf>
    <xf numFmtId="0" fontId="26" fillId="0" borderId="5" xfId="0" quotePrefix="1" applyFont="1" applyBorder="1" applyAlignment="1">
      <alignment horizontal="center"/>
    </xf>
    <xf numFmtId="49" fontId="9" fillId="14" borderId="5" xfId="0" applyNumberFormat="1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6" fillId="14" borderId="5" xfId="0" applyFont="1" applyFill="1" applyBorder="1"/>
    <xf numFmtId="0" fontId="37" fillId="15" borderId="5" xfId="0" applyFont="1" applyFill="1" applyBorder="1" applyAlignment="1">
      <alignment horizontal="center"/>
    </xf>
    <xf numFmtId="0" fontId="38" fillId="15" borderId="0" xfId="0" applyFont="1" applyFill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15" borderId="0" xfId="0" applyFont="1" applyFill="1"/>
    <xf numFmtId="0" fontId="42" fillId="0" borderId="0" xfId="0" applyFont="1"/>
    <xf numFmtId="0" fontId="43" fillId="15" borderId="0" xfId="0" applyFont="1" applyFill="1" applyAlignment="1">
      <alignment horizontal="center"/>
    </xf>
    <xf numFmtId="0" fontId="26" fillId="15" borderId="0" xfId="0" applyFont="1" applyFill="1" applyAlignment="1">
      <alignment horizontal="right"/>
    </xf>
    <xf numFmtId="0" fontId="9" fillId="15" borderId="0" xfId="0" applyFont="1" applyFill="1" applyAlignment="1">
      <alignment horizontal="right"/>
    </xf>
    <xf numFmtId="14" fontId="26" fillId="0" borderId="6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0" fontId="26" fillId="0" borderId="6" xfId="0" applyNumberFormat="1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49" fontId="9" fillId="15" borderId="6" xfId="0" applyNumberFormat="1" applyFont="1" applyFill="1" applyBorder="1" applyAlignment="1">
      <alignment horizontal="center"/>
    </xf>
    <xf numFmtId="0" fontId="44" fillId="0" borderId="0" xfId="0" applyFont="1"/>
    <xf numFmtId="0" fontId="45" fillId="11" borderId="4" xfId="0" applyFont="1" applyFill="1" applyBorder="1"/>
    <xf numFmtId="0" fontId="46" fillId="15" borderId="6" xfId="0" applyFont="1" applyFill="1" applyBorder="1"/>
    <xf numFmtId="0" fontId="47" fillId="14" borderId="6" xfId="0" applyFont="1" applyFill="1" applyBorder="1" applyAlignment="1">
      <alignment horizontal="center"/>
    </xf>
    <xf numFmtId="0" fontId="48" fillId="15" borderId="6" xfId="0" applyFont="1" applyFill="1" applyBorder="1"/>
    <xf numFmtId="0" fontId="49" fillId="0" borderId="0" xfId="0" applyFont="1"/>
    <xf numFmtId="0" fontId="50" fillId="14" borderId="0" xfId="0" applyFont="1" applyFill="1" applyAlignment="1">
      <alignment horizontal="center"/>
    </xf>
    <xf numFmtId="0" fontId="10" fillId="15" borderId="0" xfId="0" applyFont="1" applyFill="1"/>
    <xf numFmtId="0" fontId="51" fillId="15" borderId="7" xfId="0" applyFont="1" applyFill="1" applyBorder="1"/>
    <xf numFmtId="0" fontId="9" fillId="14" borderId="0" xfId="0" applyFont="1" applyFill="1"/>
    <xf numFmtId="0" fontId="51" fillId="15" borderId="5" xfId="0" applyFont="1" applyFill="1" applyBorder="1"/>
    <xf numFmtId="0" fontId="51" fillId="15" borderId="0" xfId="0" applyFont="1" applyFill="1"/>
    <xf numFmtId="177" fontId="51" fillId="15" borderId="5" xfId="0" applyNumberFormat="1" applyFont="1" applyFill="1" applyBorder="1"/>
    <xf numFmtId="0" fontId="52" fillId="17" borderId="0" xfId="0" applyFont="1" applyFill="1"/>
    <xf numFmtId="0" fontId="51" fillId="15" borderId="8" xfId="0" applyFont="1" applyFill="1" applyBorder="1"/>
    <xf numFmtId="0" fontId="53" fillId="9" borderId="0" xfId="0" applyFont="1" applyFill="1"/>
    <xf numFmtId="0" fontId="9" fillId="9" borderId="0" xfId="0" applyFont="1" applyFill="1"/>
    <xf numFmtId="0" fontId="55" fillId="18" borderId="0" xfId="0" applyFont="1" applyFill="1" applyAlignment="1">
      <alignment horizontal="center"/>
    </xf>
    <xf numFmtId="0" fontId="26" fillId="9" borderId="9" xfId="0" applyFont="1" applyFill="1" applyBorder="1"/>
    <xf numFmtId="0" fontId="10" fillId="18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1" fillId="11" borderId="0" xfId="0" applyFont="1" applyFill="1"/>
    <xf numFmtId="14" fontId="9" fillId="15" borderId="0" xfId="0" applyNumberFormat="1" applyFont="1" applyFill="1" applyAlignment="1">
      <alignment horizontal="center"/>
    </xf>
    <xf numFmtId="0" fontId="9" fillId="9" borderId="4" xfId="0" applyFont="1" applyFill="1" applyBorder="1"/>
    <xf numFmtId="20" fontId="9" fillId="15" borderId="0" xfId="0" applyNumberFormat="1" applyFont="1" applyFill="1" applyAlignment="1">
      <alignment horizontal="center"/>
    </xf>
    <xf numFmtId="0" fontId="33" fillId="15" borderId="0" xfId="0" applyFont="1" applyFill="1" applyAlignment="1">
      <alignment horizontal="center"/>
    </xf>
    <xf numFmtId="0" fontId="9" fillId="12" borderId="0" xfId="0" applyFont="1" applyFill="1"/>
    <xf numFmtId="0" fontId="9" fillId="12" borderId="4" xfId="0" applyFont="1" applyFill="1" applyBorder="1"/>
    <xf numFmtId="0" fontId="56" fillId="5" borderId="0" xfId="0" applyFont="1" applyFill="1"/>
    <xf numFmtId="0" fontId="57" fillId="1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58" fillId="14" borderId="0" xfId="0" applyFont="1" applyFill="1"/>
    <xf numFmtId="0" fontId="59" fillId="15" borderId="5" xfId="0" applyFont="1" applyFill="1" applyBorder="1"/>
    <xf numFmtId="0" fontId="60" fillId="0" borderId="0" xfId="0" applyFont="1"/>
    <xf numFmtId="178" fontId="9" fillId="0" borderId="0" xfId="0" applyNumberFormat="1" applyFont="1" applyAlignment="1">
      <alignment horizontal="right"/>
    </xf>
    <xf numFmtId="0" fontId="26" fillId="15" borderId="5" xfId="0" applyFont="1" applyFill="1" applyBorder="1"/>
    <xf numFmtId="0" fontId="3" fillId="0" borderId="0" xfId="0" applyFont="1" applyAlignment="1">
      <alignment horizontal="center"/>
    </xf>
    <xf numFmtId="0" fontId="3" fillId="19" borderId="0" xfId="0" applyFont="1" applyFill="1"/>
    <xf numFmtId="0" fontId="61" fillId="0" borderId="0" xfId="0" applyFont="1"/>
    <xf numFmtId="0" fontId="62" fillId="15" borderId="0" xfId="0" applyFont="1" applyFill="1"/>
    <xf numFmtId="0" fontId="26" fillId="14" borderId="6" xfId="0" applyFont="1" applyFill="1" applyBorder="1"/>
    <xf numFmtId="0" fontId="9" fillId="20" borderId="0" xfId="0" applyFont="1" applyFill="1"/>
    <xf numFmtId="0" fontId="9" fillId="21" borderId="0" xfId="0" applyFont="1" applyFill="1" applyAlignment="1">
      <alignment horizontal="center"/>
    </xf>
    <xf numFmtId="0" fontId="9" fillId="21" borderId="0" xfId="0" applyFont="1" applyFill="1"/>
    <xf numFmtId="0" fontId="9" fillId="21" borderId="0" xfId="0" applyFont="1" applyFill="1" applyAlignment="1">
      <alignment horizontal="right"/>
    </xf>
    <xf numFmtId="0" fontId="63" fillId="0" borderId="0" xfId="0" applyFont="1"/>
    <xf numFmtId="0" fontId="9" fillId="22" borderId="0" xfId="0" applyFont="1" applyFill="1" applyAlignment="1">
      <alignment horizontal="center"/>
    </xf>
    <xf numFmtId="0" fontId="11" fillId="12" borderId="4" xfId="0" applyFont="1" applyFill="1" applyBorder="1"/>
    <xf numFmtId="0" fontId="33" fillId="21" borderId="0" xfId="0" applyFont="1" applyFill="1" applyAlignment="1">
      <alignment horizontal="center"/>
    </xf>
    <xf numFmtId="0" fontId="64" fillId="15" borderId="0" xfId="0" applyFont="1" applyFill="1" applyAlignment="1">
      <alignment horizontal="center"/>
    </xf>
    <xf numFmtId="58" fontId="12" fillId="23" borderId="0" xfId="0" applyNumberFormat="1" applyFont="1" applyFill="1" applyAlignment="1">
      <alignment horizontal="center"/>
    </xf>
    <xf numFmtId="0" fontId="3" fillId="21" borderId="0" xfId="0" applyFont="1" applyFill="1"/>
    <xf numFmtId="58" fontId="3" fillId="0" borderId="0" xfId="0" applyNumberFormat="1" applyFont="1"/>
    <xf numFmtId="0" fontId="10" fillId="15" borderId="0" xfId="0" applyFont="1" applyFill="1" applyAlignment="1">
      <alignment horizontal="center"/>
    </xf>
    <xf numFmtId="0" fontId="60" fillId="15" borderId="0" xfId="0" applyFont="1" applyFill="1"/>
    <xf numFmtId="0" fontId="55" fillId="18" borderId="0" xfId="0" applyFont="1" applyFill="1"/>
    <xf numFmtId="0" fontId="55" fillId="18" borderId="0" xfId="0" applyFont="1" applyFill="1" applyAlignment="1">
      <alignment horizontal="left"/>
    </xf>
    <xf numFmtId="0" fontId="2" fillId="18" borderId="0" xfId="0" applyFont="1" applyFill="1" applyAlignment="1">
      <alignment horizontal="center"/>
    </xf>
    <xf numFmtId="0" fontId="9" fillId="14" borderId="5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65" fillId="0" borderId="0" xfId="0" applyFont="1" applyAlignment="1">
      <alignment horizontal="center"/>
    </xf>
    <xf numFmtId="0" fontId="10" fillId="15" borderId="0" xfId="0" applyFont="1" applyFill="1" applyAlignment="1">
      <alignment horizontal="right"/>
    </xf>
    <xf numFmtId="0" fontId="66" fillId="14" borderId="5" xfId="0" applyFont="1" applyFill="1" applyBorder="1" applyAlignment="1">
      <alignment horizontal="center"/>
    </xf>
    <xf numFmtId="58" fontId="67" fillId="15" borderId="0" xfId="0" applyNumberFormat="1" applyFont="1" applyFill="1"/>
    <xf numFmtId="179" fontId="10" fillId="15" borderId="0" xfId="0" applyNumberFormat="1" applyFont="1" applyFill="1" applyAlignment="1">
      <alignment horizontal="center"/>
    </xf>
    <xf numFmtId="0" fontId="68" fillId="15" borderId="0" xfId="0" applyFont="1" applyFill="1" applyAlignment="1">
      <alignment horizontal="center"/>
    </xf>
    <xf numFmtId="0" fontId="69" fillId="15" borderId="0" xfId="0" applyFont="1" applyFill="1"/>
    <xf numFmtId="0" fontId="70" fillId="15" borderId="6" xfId="0" applyFont="1" applyFill="1" applyBorder="1" applyAlignment="1">
      <alignment horizontal="center"/>
    </xf>
    <xf numFmtId="0" fontId="71" fillId="15" borderId="0" xfId="0" applyFont="1" applyFill="1"/>
    <xf numFmtId="0" fontId="9" fillId="24" borderId="0" xfId="0" applyFont="1" applyFill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51" fillId="15" borderId="11" xfId="0" applyFont="1" applyFill="1" applyBorder="1" applyAlignment="1">
      <alignment horizontal="right"/>
    </xf>
    <xf numFmtId="0" fontId="72" fillId="14" borderId="0" xfId="0" applyFont="1" applyFill="1"/>
    <xf numFmtId="0" fontId="73" fillId="15" borderId="11" xfId="0" applyFont="1" applyFill="1" applyBorder="1"/>
    <xf numFmtId="179" fontId="9" fillId="15" borderId="11" xfId="0" applyNumberFormat="1" applyFont="1" applyFill="1" applyBorder="1"/>
    <xf numFmtId="0" fontId="26" fillId="15" borderId="6" xfId="0" applyFont="1" applyFill="1" applyBorder="1" applyAlignment="1">
      <alignment horizontal="right"/>
    </xf>
    <xf numFmtId="179" fontId="51" fillId="15" borderId="11" xfId="0" applyNumberFormat="1" applyFont="1" applyFill="1" applyBorder="1" applyAlignment="1">
      <alignment horizontal="center"/>
    </xf>
    <xf numFmtId="0" fontId="9" fillId="15" borderId="12" xfId="0" applyFont="1" applyFill="1" applyBorder="1" applyAlignment="1">
      <alignment horizontal="right"/>
    </xf>
    <xf numFmtId="0" fontId="74" fillId="15" borderId="11" xfId="0" applyFont="1" applyFill="1" applyBorder="1" applyAlignment="1">
      <alignment horizontal="center"/>
    </xf>
    <xf numFmtId="0" fontId="26" fillId="15" borderId="0" xfId="0" applyFont="1" applyFill="1"/>
    <xf numFmtId="0" fontId="75" fillId="15" borderId="0" xfId="0" applyFont="1" applyFill="1"/>
    <xf numFmtId="58" fontId="76" fillId="0" borderId="0" xfId="0" applyNumberFormat="1" applyFont="1" applyAlignment="1">
      <alignment horizontal="center"/>
    </xf>
    <xf numFmtId="0" fontId="77" fillId="15" borderId="6" xfId="0" applyFont="1" applyFill="1" applyBorder="1" applyAlignment="1">
      <alignment horizontal="right"/>
    </xf>
    <xf numFmtId="0" fontId="9" fillId="15" borderId="6" xfId="0" applyFont="1" applyFill="1" applyBorder="1"/>
    <xf numFmtId="0" fontId="51" fillId="15" borderId="5" xfId="0" applyFont="1" applyFill="1" applyBorder="1" applyAlignment="1">
      <alignment horizontal="right"/>
    </xf>
    <xf numFmtId="0" fontId="9" fillId="15" borderId="5" xfId="0" applyFont="1" applyFill="1" applyBorder="1"/>
    <xf numFmtId="0" fontId="9" fillId="5" borderId="0" xfId="0" applyFont="1" applyFill="1" applyAlignment="1">
      <alignment horizontal="center"/>
    </xf>
    <xf numFmtId="179" fontId="78" fillId="15" borderId="5" xfId="0" applyNumberFormat="1" applyFont="1" applyFill="1" applyBorder="1"/>
    <xf numFmtId="179" fontId="51" fillId="15" borderId="5" xfId="0" applyNumberFormat="1" applyFont="1" applyFill="1" applyBorder="1" applyAlignment="1">
      <alignment horizontal="center"/>
    </xf>
    <xf numFmtId="0" fontId="79" fillId="0" borderId="0" xfId="0" applyFont="1" applyAlignment="1">
      <alignment horizontal="center"/>
    </xf>
    <xf numFmtId="0" fontId="80" fillId="15" borderId="5" xfId="0" applyFont="1" applyFill="1" applyBorder="1"/>
    <xf numFmtId="0" fontId="9" fillId="15" borderId="5" xfId="0" applyFont="1" applyFill="1" applyBorder="1" applyAlignment="1">
      <alignment horizontal="right"/>
    </xf>
    <xf numFmtId="0" fontId="81" fillId="14" borderId="0" xfId="0" applyFont="1" applyFill="1" applyAlignment="1">
      <alignment horizontal="center"/>
    </xf>
    <xf numFmtId="0" fontId="82" fillId="14" borderId="0" xfId="0" applyFont="1" applyFill="1"/>
    <xf numFmtId="0" fontId="9" fillId="14" borderId="0" xfId="0" applyFont="1" applyFill="1" applyAlignment="1">
      <alignment horizontal="right"/>
    </xf>
    <xf numFmtId="0" fontId="9" fillId="15" borderId="13" xfId="0" applyFont="1" applyFill="1" applyBorder="1" applyAlignment="1">
      <alignment horizontal="right"/>
    </xf>
    <xf numFmtId="0" fontId="9" fillId="15" borderId="13" xfId="0" applyFont="1" applyFill="1" applyBorder="1"/>
    <xf numFmtId="0" fontId="51" fillId="15" borderId="0" xfId="0" applyFont="1" applyFill="1" applyAlignment="1">
      <alignment horizontal="right"/>
    </xf>
    <xf numFmtId="0" fontId="83" fillId="15" borderId="0" xfId="0" applyFont="1" applyFill="1"/>
    <xf numFmtId="179" fontId="9" fillId="15" borderId="0" xfId="0" applyNumberFormat="1" applyFont="1" applyFill="1"/>
    <xf numFmtId="0" fontId="84" fillId="14" borderId="0" xfId="0" applyFont="1" applyFill="1"/>
    <xf numFmtId="0" fontId="85" fillId="14" borderId="0" xfId="0" applyFont="1" applyFill="1" applyAlignment="1">
      <alignment horizontal="center"/>
    </xf>
    <xf numFmtId="0" fontId="86" fillId="15" borderId="0" xfId="0" applyFont="1" applyFill="1"/>
    <xf numFmtId="58" fontId="87" fillId="14" borderId="0" xfId="0" applyNumberFormat="1" applyFont="1" applyFill="1" applyAlignment="1">
      <alignment horizontal="center"/>
    </xf>
    <xf numFmtId="0" fontId="88" fillId="10" borderId="0" xfId="0" applyFont="1" applyFill="1"/>
    <xf numFmtId="0" fontId="9" fillId="10" borderId="0" xfId="0" applyFont="1" applyFill="1" applyAlignment="1">
      <alignment horizontal="right"/>
    </xf>
    <xf numFmtId="0" fontId="89" fillId="15" borderId="0" xfId="0" applyFont="1" applyFill="1" applyAlignment="1">
      <alignment horizontal="right"/>
    </xf>
    <xf numFmtId="0" fontId="90" fillId="15" borderId="5" xfId="0" applyFont="1" applyFill="1" applyBorder="1"/>
    <xf numFmtId="0" fontId="91" fillId="0" borderId="0" xfId="0" applyFont="1" applyAlignment="1">
      <alignment horizontal="center"/>
    </xf>
    <xf numFmtId="178" fontId="92" fillId="15" borderId="5" xfId="0" applyNumberFormat="1" applyFont="1" applyFill="1" applyBorder="1"/>
    <xf numFmtId="0" fontId="93" fillId="10" borderId="0" xfId="0" applyFont="1" applyFill="1"/>
    <xf numFmtId="0" fontId="94" fillId="15" borderId="6" xfId="0" applyFont="1" applyFill="1" applyBorder="1" applyAlignment="1">
      <alignment horizontal="center"/>
    </xf>
    <xf numFmtId="0" fontId="95" fillId="15" borderId="14" xfId="0" applyFont="1" applyFill="1" applyBorder="1"/>
    <xf numFmtId="179" fontId="96" fillId="15" borderId="0" xfId="0" applyNumberFormat="1" applyFont="1" applyFill="1"/>
    <xf numFmtId="0" fontId="97" fillId="0" borderId="5" xfId="0" applyFont="1" applyBorder="1" applyAlignment="1">
      <alignment horizontal="center"/>
    </xf>
    <xf numFmtId="0" fontId="98" fillId="15" borderId="0" xfId="0" applyFont="1" applyFill="1" applyAlignment="1">
      <alignment horizontal="center"/>
    </xf>
    <xf numFmtId="0" fontId="99" fillId="15" borderId="0" xfId="0" applyFont="1" applyFill="1"/>
    <xf numFmtId="0" fontId="51" fillId="15" borderId="6" xfId="0" applyFont="1" applyFill="1" applyBorder="1" applyAlignment="1">
      <alignment horizontal="right"/>
    </xf>
    <xf numFmtId="14" fontId="26" fillId="8" borderId="6" xfId="0" applyNumberFormat="1" applyFont="1" applyFill="1" applyBorder="1" applyAlignment="1">
      <alignment horizontal="center"/>
    </xf>
    <xf numFmtId="179" fontId="100" fillId="14" borderId="6" xfId="0" applyNumberFormat="1" applyFont="1" applyFill="1" applyBorder="1"/>
    <xf numFmtId="20" fontId="26" fillId="8" borderId="6" xfId="0" applyNumberFormat="1" applyFont="1" applyFill="1" applyBorder="1" applyAlignment="1">
      <alignment horizontal="center"/>
    </xf>
    <xf numFmtId="0" fontId="26" fillId="8" borderId="6" xfId="0" applyFont="1" applyFill="1" applyBorder="1" applyAlignment="1">
      <alignment horizontal="center"/>
    </xf>
    <xf numFmtId="0" fontId="101" fillId="14" borderId="0" xfId="0" applyFont="1" applyFill="1"/>
    <xf numFmtId="0" fontId="102" fillId="14" borderId="0" xfId="0" applyFont="1" applyFill="1" applyAlignment="1">
      <alignment horizontal="center"/>
    </xf>
    <xf numFmtId="179" fontId="103" fillId="14" borderId="6" xfId="0" applyNumberFormat="1" applyFont="1" applyFill="1" applyBorder="1" applyAlignment="1">
      <alignment horizontal="center"/>
    </xf>
    <xf numFmtId="0" fontId="104" fillId="8" borderId="6" xfId="0" applyFont="1" applyFill="1" applyBorder="1"/>
    <xf numFmtId="0" fontId="105" fillId="15" borderId="15" xfId="0" applyFont="1" applyFill="1" applyBorder="1" applyAlignment="1">
      <alignment horizontal="center"/>
    </xf>
    <xf numFmtId="3" fontId="106" fillId="8" borderId="6" xfId="0" applyNumberFormat="1" applyFont="1" applyFill="1" applyBorder="1" applyAlignment="1">
      <alignment horizontal="center"/>
    </xf>
    <xf numFmtId="0" fontId="51" fillId="15" borderId="8" xfId="0" applyFont="1" applyFill="1" applyBorder="1" applyAlignment="1">
      <alignment horizontal="right"/>
    </xf>
    <xf numFmtId="0" fontId="107" fillId="15" borderId="8" xfId="0" applyFont="1" applyFill="1" applyBorder="1"/>
    <xf numFmtId="179" fontId="108" fillId="15" borderId="8" xfId="0" applyNumberFormat="1" applyFont="1" applyFill="1" applyBorder="1"/>
    <xf numFmtId="179" fontId="51" fillId="15" borderId="8" xfId="0" applyNumberFormat="1" applyFont="1" applyFill="1" applyBorder="1" applyAlignment="1">
      <alignment horizontal="center"/>
    </xf>
    <xf numFmtId="0" fontId="109" fillId="15" borderId="8" xfId="0" applyFont="1" applyFill="1" applyBorder="1" applyAlignment="1">
      <alignment horizontal="center"/>
    </xf>
    <xf numFmtId="0" fontId="110" fillId="15" borderId="0" xfId="0" applyFont="1" applyFill="1" applyAlignment="1">
      <alignment horizontal="center"/>
    </xf>
    <xf numFmtId="0" fontId="111" fillId="15" borderId="15" xfId="0" applyFont="1" applyFill="1" applyBorder="1"/>
    <xf numFmtId="58" fontId="26" fillId="0" borderId="6" xfId="0" applyNumberFormat="1" applyFont="1" applyBorder="1" applyAlignment="1">
      <alignment horizontal="center"/>
    </xf>
    <xf numFmtId="0" fontId="112" fillId="15" borderId="0" xfId="0" applyFont="1" applyFill="1"/>
    <xf numFmtId="180" fontId="27" fillId="0" borderId="6" xfId="0" applyNumberFormat="1" applyFont="1" applyBorder="1" applyAlignment="1">
      <alignment horizontal="center"/>
    </xf>
    <xf numFmtId="0" fontId="113" fillId="14" borderId="0" xfId="0" applyFont="1" applyFill="1" applyAlignment="1">
      <alignment horizontal="center"/>
    </xf>
    <xf numFmtId="180" fontId="26" fillId="0" borderId="6" xfId="0" applyNumberFormat="1" applyFont="1" applyBorder="1" applyAlignment="1">
      <alignment horizontal="center"/>
    </xf>
    <xf numFmtId="0" fontId="114" fillId="14" borderId="16" xfId="0" applyFont="1" applyFill="1" applyBorder="1"/>
    <xf numFmtId="179" fontId="115" fillId="14" borderId="0" xfId="0" applyNumberFormat="1" applyFont="1" applyFill="1"/>
    <xf numFmtId="179" fontId="51" fillId="14" borderId="0" xfId="0" applyNumberFormat="1" applyFont="1" applyFill="1" applyAlignment="1">
      <alignment horizontal="center"/>
    </xf>
    <xf numFmtId="0" fontId="116" fillId="14" borderId="0" xfId="0" applyFont="1" applyFill="1"/>
    <xf numFmtId="0" fontId="117" fillId="14" borderId="6" xfId="0" applyFont="1" applyFill="1" applyBorder="1"/>
    <xf numFmtId="0" fontId="118" fillId="15" borderId="16" xfId="0" applyFont="1" applyFill="1" applyBorder="1"/>
    <xf numFmtId="0" fontId="26" fillId="15" borderId="5" xfId="0" quotePrefix="1" applyFont="1" applyFill="1" applyBorder="1"/>
    <xf numFmtId="14" fontId="119" fillId="15" borderId="5" xfId="0" applyNumberFormat="1" applyFont="1" applyFill="1" applyBorder="1"/>
    <xf numFmtId="14" fontId="120" fillId="15" borderId="5" xfId="0" applyNumberFormat="1" applyFont="1" applyFill="1" applyBorder="1" applyAlignment="1">
      <alignment horizontal="center"/>
    </xf>
    <xf numFmtId="0" fontId="121" fillId="15" borderId="0" xfId="0" applyFont="1" applyFill="1"/>
    <xf numFmtId="0" fontId="122" fillId="15" borderId="0" xfId="0" applyFont="1" applyFill="1"/>
    <xf numFmtId="0" fontId="123" fillId="14" borderId="5" xfId="0" applyFont="1" applyFill="1" applyBorder="1"/>
    <xf numFmtId="14" fontId="124" fillId="14" borderId="5" xfId="0" applyNumberFormat="1" applyFont="1" applyFill="1" applyBorder="1"/>
    <xf numFmtId="0" fontId="9" fillId="25" borderId="0" xfId="0" applyFont="1" applyFill="1"/>
    <xf numFmtId="14" fontId="120" fillId="14" borderId="5" xfId="0" applyNumberFormat="1" applyFont="1" applyFill="1" applyBorder="1" applyAlignment="1">
      <alignment horizontal="center"/>
    </xf>
    <xf numFmtId="3" fontId="26" fillId="0" borderId="5" xfId="0" applyNumberFormat="1" applyFont="1" applyBorder="1" applyAlignment="1">
      <alignment horizontal="center"/>
    </xf>
    <xf numFmtId="49" fontId="9" fillId="15" borderId="5" xfId="0" applyNumberFormat="1" applyFont="1" applyFill="1" applyBorder="1" applyAlignment="1">
      <alignment horizontal="center"/>
    </xf>
    <xf numFmtId="0" fontId="125" fillId="14" borderId="0" xfId="0" applyFont="1" applyFill="1"/>
    <xf numFmtId="0" fontId="126" fillId="15" borderId="0" xfId="0" applyFont="1" applyFill="1"/>
    <xf numFmtId="0" fontId="127" fillId="15" borderId="5" xfId="0" applyFont="1" applyFill="1" applyBorder="1"/>
    <xf numFmtId="0" fontId="26" fillId="14" borderId="6" xfId="0" quotePrefix="1" applyFont="1" applyFill="1" applyBorder="1"/>
    <xf numFmtId="3" fontId="128" fillId="15" borderId="5" xfId="0" applyNumberFormat="1" applyFont="1" applyFill="1" applyBorder="1" applyAlignment="1">
      <alignment horizontal="center"/>
    </xf>
    <xf numFmtId="0" fontId="129" fillId="15" borderId="0" xfId="0" applyFont="1" applyFill="1"/>
    <xf numFmtId="0" fontId="130" fillId="15" borderId="6" xfId="0" applyFont="1" applyFill="1" applyBorder="1"/>
    <xf numFmtId="14" fontId="131" fillId="15" borderId="6" xfId="0" applyNumberFormat="1" applyFont="1" applyFill="1" applyBorder="1"/>
    <xf numFmtId="14" fontId="120" fillId="15" borderId="6" xfId="0" applyNumberFormat="1" applyFont="1" applyFill="1" applyBorder="1" applyAlignment="1">
      <alignment horizontal="center"/>
    </xf>
    <xf numFmtId="3" fontId="9" fillId="15" borderId="5" xfId="0" applyNumberFormat="1" applyFont="1" applyFill="1" applyBorder="1"/>
    <xf numFmtId="0" fontId="26" fillId="14" borderId="5" xfId="0" applyFont="1" applyFill="1" applyBorder="1"/>
    <xf numFmtId="0" fontId="132" fillId="14" borderId="5" xfId="0" applyFont="1" applyFill="1" applyBorder="1"/>
    <xf numFmtId="181" fontId="120" fillId="14" borderId="0" xfId="0" applyNumberFormat="1" applyFont="1" applyFill="1" applyAlignment="1">
      <alignment horizontal="center"/>
    </xf>
    <xf numFmtId="0" fontId="133" fillId="14" borderId="0" xfId="0" applyFont="1" applyFill="1"/>
    <xf numFmtId="0" fontId="26" fillId="15" borderId="14" xfId="0" applyFont="1" applyFill="1" applyBorder="1"/>
    <xf numFmtId="3" fontId="134" fillId="15" borderId="5" xfId="0" applyNumberFormat="1" applyFont="1" applyFill="1" applyBorder="1"/>
    <xf numFmtId="0" fontId="135" fillId="15" borderId="14" xfId="0" applyFont="1" applyFill="1" applyBorder="1"/>
    <xf numFmtId="49" fontId="9" fillId="14" borderId="6" xfId="0" applyNumberFormat="1" applyFont="1" applyFill="1" applyBorder="1" applyAlignment="1">
      <alignment horizontal="center"/>
    </xf>
    <xf numFmtId="14" fontId="136" fillId="15" borderId="14" xfId="0" applyNumberFormat="1" applyFont="1" applyFill="1" applyBorder="1"/>
    <xf numFmtId="0" fontId="120" fillId="15" borderId="0" xfId="0" applyFont="1" applyFill="1" applyAlignment="1">
      <alignment horizontal="center"/>
    </xf>
    <xf numFmtId="0" fontId="137" fillId="14" borderId="6" xfId="0" applyFont="1" applyFill="1" applyBorder="1"/>
    <xf numFmtId="0" fontId="138" fillId="15" borderId="0" xfId="0" applyFont="1" applyFill="1"/>
    <xf numFmtId="0" fontId="139" fillId="15" borderId="0" xfId="0" applyFont="1" applyFill="1"/>
    <xf numFmtId="180" fontId="140" fillId="14" borderId="6" xfId="0" applyNumberFormat="1" applyFont="1" applyFill="1" applyBorder="1"/>
    <xf numFmtId="49" fontId="141" fillId="14" borderId="6" xfId="0" applyNumberFormat="1" applyFont="1" applyFill="1" applyBorder="1" applyAlignment="1">
      <alignment horizontal="center"/>
    </xf>
    <xf numFmtId="0" fontId="9" fillId="14" borderId="6" xfId="0" applyFont="1" applyFill="1" applyBorder="1"/>
    <xf numFmtId="0" fontId="142" fillId="14" borderId="6" xfId="0" applyFont="1" applyFill="1" applyBorder="1"/>
    <xf numFmtId="180" fontId="9" fillId="14" borderId="12" xfId="0" applyNumberFormat="1" applyFont="1" applyFill="1" applyBorder="1" applyAlignment="1">
      <alignment horizontal="right"/>
    </xf>
    <xf numFmtId="180" fontId="9" fillId="14" borderId="6" xfId="0" applyNumberFormat="1" applyFont="1" applyFill="1" applyBorder="1"/>
    <xf numFmtId="0" fontId="9" fillId="14" borderId="12" xfId="0" applyFont="1" applyFill="1" applyBorder="1"/>
    <xf numFmtId="0" fontId="143" fillId="14" borderId="6" xfId="0" applyFont="1" applyFill="1" applyBorder="1"/>
    <xf numFmtId="0" fontId="144" fillId="15" borderId="0" xfId="0" applyFont="1" applyFill="1" applyAlignment="1">
      <alignment horizontal="center"/>
    </xf>
    <xf numFmtId="0" fontId="51" fillId="15" borderId="17" xfId="0" applyFont="1" applyFill="1" applyBorder="1"/>
    <xf numFmtId="0" fontId="26" fillId="15" borderId="17" xfId="0" applyFont="1" applyFill="1" applyBorder="1" applyAlignment="1">
      <alignment horizontal="right"/>
    </xf>
    <xf numFmtId="0" fontId="145" fillId="15" borderId="0" xfId="0" applyFont="1" applyFill="1"/>
    <xf numFmtId="0" fontId="146" fillId="15" borderId="17" xfId="0" applyFont="1" applyFill="1" applyBorder="1"/>
    <xf numFmtId="0" fontId="2" fillId="15" borderId="0" xfId="0" applyFont="1" applyFill="1" applyAlignment="1">
      <alignment horizontal="center"/>
    </xf>
    <xf numFmtId="179" fontId="147" fillId="15" borderId="6" xfId="0" applyNumberFormat="1" applyFont="1" applyFill="1" applyBorder="1" applyAlignment="1">
      <alignment horizontal="center"/>
    </xf>
    <xf numFmtId="0" fontId="9" fillId="14" borderId="6" xfId="0" applyFont="1" applyFill="1" applyBorder="1" applyAlignment="1">
      <alignment horizontal="right"/>
    </xf>
    <xf numFmtId="49" fontId="148" fillId="14" borderId="5" xfId="0" applyNumberFormat="1" applyFont="1" applyFill="1" applyBorder="1"/>
    <xf numFmtId="49" fontId="149" fillId="15" borderId="5" xfId="0" applyNumberFormat="1" applyFont="1" applyFill="1" applyBorder="1" applyAlignment="1">
      <alignment horizontal="center"/>
    </xf>
    <xf numFmtId="0" fontId="9" fillId="15" borderId="12" xfId="0" applyFont="1" applyFill="1" applyBorder="1"/>
    <xf numFmtId="0" fontId="150" fillId="15" borderId="0" xfId="0" applyFont="1" applyFill="1"/>
    <xf numFmtId="0" fontId="151" fillId="15" borderId="0" xfId="0" applyFont="1" applyFill="1"/>
    <xf numFmtId="0" fontId="51" fillId="15" borderId="6" xfId="0" applyFont="1" applyFill="1" applyBorder="1"/>
    <xf numFmtId="0" fontId="26" fillId="0" borderId="6" xfId="0" quotePrefix="1" applyFont="1" applyBorder="1" applyAlignment="1">
      <alignment horizontal="center"/>
    </xf>
    <xf numFmtId="0" fontId="9" fillId="15" borderId="6" xfId="0" applyFont="1" applyFill="1" applyBorder="1" applyAlignment="1">
      <alignment horizontal="center"/>
    </xf>
    <xf numFmtId="49" fontId="152" fillId="14" borderId="6" xfId="0" applyNumberFormat="1" applyFont="1" applyFill="1" applyBorder="1"/>
    <xf numFmtId="49" fontId="153" fillId="15" borderId="6" xfId="0" applyNumberFormat="1" applyFont="1" applyFill="1" applyBorder="1" applyAlignment="1">
      <alignment horizontal="center"/>
    </xf>
    <xf numFmtId="179" fontId="51" fillId="15" borderId="6" xfId="0" applyNumberFormat="1" applyFont="1" applyFill="1" applyBorder="1" applyAlignment="1">
      <alignment horizontal="center"/>
    </xf>
    <xf numFmtId="0" fontId="26" fillId="15" borderId="6" xfId="0" applyFont="1" applyFill="1" applyBorder="1"/>
    <xf numFmtId="0" fontId="154" fillId="15" borderId="0" xfId="0" applyFont="1" applyFill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9" fillId="15" borderId="18" xfId="0" applyFont="1" applyFill="1" applyBorder="1" applyAlignment="1">
      <alignment horizontal="right"/>
    </xf>
    <xf numFmtId="0" fontId="9" fillId="22" borderId="0" xfId="0" applyFont="1" applyFill="1"/>
    <xf numFmtId="0" fontId="26" fillId="15" borderId="5" xfId="0" applyFont="1" applyFill="1" applyBorder="1" applyAlignment="1">
      <alignment horizontal="right"/>
    </xf>
    <xf numFmtId="0" fontId="155" fillId="15" borderId="17" xfId="0" applyFont="1" applyFill="1" applyBorder="1"/>
    <xf numFmtId="0" fontId="156" fillId="15" borderId="14" xfId="0" applyFont="1" applyFill="1" applyBorder="1"/>
    <xf numFmtId="3" fontId="9" fillId="15" borderId="0" xfId="0" applyNumberFormat="1" applyFont="1" applyFill="1"/>
    <xf numFmtId="0" fontId="157" fillId="14" borderId="0" xfId="0" applyFont="1" applyFill="1"/>
    <xf numFmtId="179" fontId="158" fillId="15" borderId="6" xfId="0" applyNumberFormat="1" applyFont="1" applyFill="1" applyBorder="1" applyAlignment="1">
      <alignment horizontal="center"/>
    </xf>
    <xf numFmtId="0" fontId="159" fillId="15" borderId="14" xfId="0" applyFont="1" applyFill="1" applyBorder="1"/>
    <xf numFmtId="0" fontId="9" fillId="15" borderId="19" xfId="0" applyFont="1" applyFill="1" applyBorder="1"/>
    <xf numFmtId="0" fontId="26" fillId="15" borderId="19" xfId="0" applyFont="1" applyFill="1" applyBorder="1" applyAlignment="1">
      <alignment wrapText="1"/>
    </xf>
    <xf numFmtId="0" fontId="160" fillId="15" borderId="6" xfId="0" applyFont="1" applyFill="1" applyBorder="1"/>
    <xf numFmtId="3" fontId="161" fillId="15" borderId="0" xfId="0" applyNumberFormat="1" applyFont="1" applyFill="1" applyAlignment="1">
      <alignment horizontal="center"/>
    </xf>
    <xf numFmtId="3" fontId="9" fillId="15" borderId="6" xfId="0" applyNumberFormat="1" applyFont="1" applyFill="1" applyBorder="1"/>
    <xf numFmtId="179" fontId="51" fillId="15" borderId="0" xfId="0" applyNumberFormat="1" applyFont="1" applyFill="1" applyAlignment="1">
      <alignment horizontal="center"/>
    </xf>
    <xf numFmtId="0" fontId="162" fillId="15" borderId="0" xfId="0" applyFont="1" applyFill="1"/>
    <xf numFmtId="0" fontId="163" fillId="15" borderId="0" xfId="0" applyFont="1" applyFill="1"/>
    <xf numFmtId="0" fontId="164" fillId="0" borderId="0" xfId="0" applyFont="1"/>
    <xf numFmtId="0" fontId="26" fillId="15" borderId="6" xfId="0" applyFont="1" applyFill="1" applyBorder="1" applyAlignment="1">
      <alignment horizontal="center"/>
    </xf>
    <xf numFmtId="0" fontId="165" fillId="15" borderId="0" xfId="0" applyFont="1" applyFill="1"/>
    <xf numFmtId="0" fontId="166" fillId="15" borderId="6" xfId="0" applyFont="1" applyFill="1" applyBorder="1"/>
    <xf numFmtId="179" fontId="26" fillId="15" borderId="0" xfId="0" applyNumberFormat="1" applyFont="1" applyFill="1" applyAlignment="1">
      <alignment horizontal="center"/>
    </xf>
    <xf numFmtId="0" fontId="167" fillId="15" borderId="6" xfId="0" applyFont="1" applyFill="1" applyBorder="1"/>
    <xf numFmtId="0" fontId="168" fillId="15" borderId="6" xfId="0" applyFont="1" applyFill="1" applyBorder="1"/>
    <xf numFmtId="0" fontId="169" fillId="15" borderId="5" xfId="0" applyFont="1" applyFill="1" applyBorder="1"/>
    <xf numFmtId="0" fontId="170" fillId="15" borderId="0" xfId="0" applyFont="1" applyFill="1"/>
    <xf numFmtId="0" fontId="171" fillId="15" borderId="0" xfId="0" applyFont="1" applyFill="1"/>
    <xf numFmtId="179" fontId="172" fillId="10" borderId="6" xfId="0" applyNumberFormat="1" applyFont="1" applyFill="1" applyBorder="1" applyAlignment="1">
      <alignment horizontal="center"/>
    </xf>
    <xf numFmtId="0" fontId="26" fillId="14" borderId="6" xfId="0" applyFont="1" applyFill="1" applyBorder="1" applyAlignment="1">
      <alignment horizontal="right"/>
    </xf>
    <xf numFmtId="0" fontId="173" fillId="14" borderId="6" xfId="0" applyFont="1" applyFill="1" applyBorder="1"/>
    <xf numFmtId="14" fontId="174" fillId="14" borderId="6" xfId="0" applyNumberFormat="1" applyFont="1" applyFill="1" applyBorder="1"/>
    <xf numFmtId="14" fontId="51" fillId="14" borderId="6" xfId="0" applyNumberFormat="1" applyFont="1" applyFill="1" applyBorder="1" applyAlignment="1">
      <alignment horizontal="center"/>
    </xf>
    <xf numFmtId="14" fontId="175" fillId="14" borderId="6" xfId="0" applyNumberFormat="1" applyFont="1" applyFill="1" applyBorder="1"/>
    <xf numFmtId="0" fontId="26" fillId="15" borderId="20" xfId="0" applyFont="1" applyFill="1" applyBorder="1"/>
    <xf numFmtId="0" fontId="26" fillId="15" borderId="20" xfId="0" applyFont="1" applyFill="1" applyBorder="1" applyAlignment="1">
      <alignment horizontal="right"/>
    </xf>
    <xf numFmtId="14" fontId="176" fillId="15" borderId="20" xfId="0" applyNumberFormat="1" applyFont="1" applyFill="1" applyBorder="1"/>
    <xf numFmtId="0" fontId="9" fillId="15" borderId="20" xfId="0" applyFont="1" applyFill="1" applyBorder="1"/>
    <xf numFmtId="14" fontId="51" fillId="15" borderId="20" xfId="0" applyNumberFormat="1" applyFont="1" applyFill="1" applyBorder="1" applyAlignment="1">
      <alignment horizontal="center"/>
    </xf>
    <xf numFmtId="14" fontId="177" fillId="15" borderId="20" xfId="0" applyNumberFormat="1" applyFont="1" applyFill="1" applyBorder="1"/>
    <xf numFmtId="179" fontId="178" fillId="10" borderId="6" xfId="0" applyNumberFormat="1" applyFont="1" applyFill="1" applyBorder="1" applyAlignment="1">
      <alignment horizontal="center"/>
    </xf>
    <xf numFmtId="0" fontId="179" fillId="15" borderId="0" xfId="0" applyFont="1" applyFill="1"/>
    <xf numFmtId="0" fontId="26" fillId="14" borderId="0" xfId="0" applyFont="1" applyFill="1"/>
    <xf numFmtId="0" fontId="26" fillId="14" borderId="0" xfId="0" applyFont="1" applyFill="1" applyAlignment="1">
      <alignment horizontal="right"/>
    </xf>
    <xf numFmtId="0" fontId="51" fillId="15" borderId="0" xfId="0" applyFont="1" applyFill="1" applyAlignment="1">
      <alignment horizontal="center"/>
    </xf>
    <xf numFmtId="0" fontId="180" fillId="14" borderId="5" xfId="0" applyFont="1" applyFill="1" applyBorder="1"/>
    <xf numFmtId="58" fontId="181" fillId="15" borderId="0" xfId="0" applyNumberFormat="1" applyFont="1" applyFill="1"/>
    <xf numFmtId="0" fontId="182" fillId="15" borderId="0" xfId="0" applyFont="1" applyFill="1" applyAlignment="1">
      <alignment horizontal="center"/>
    </xf>
    <xf numFmtId="0" fontId="183" fillId="15" borderId="11" xfId="0" applyFont="1" applyFill="1" applyBorder="1"/>
    <xf numFmtId="0" fontId="184" fillId="15" borderId="11" xfId="0" applyFont="1" applyFill="1" applyBorder="1"/>
    <xf numFmtId="0" fontId="185" fillId="15" borderId="11" xfId="0" applyFont="1" applyFill="1" applyBorder="1" applyAlignment="1">
      <alignment horizontal="center"/>
    </xf>
    <xf numFmtId="0" fontId="186" fillId="15" borderId="0" xfId="0" applyFont="1" applyFill="1"/>
    <xf numFmtId="0" fontId="187" fillId="14" borderId="0" xfId="0" applyFont="1" applyFill="1"/>
    <xf numFmtId="0" fontId="188" fillId="15" borderId="0" xfId="0" applyFont="1" applyFill="1"/>
    <xf numFmtId="0" fontId="189" fillId="14" borderId="5" xfId="0" applyFont="1" applyFill="1" applyBorder="1"/>
    <xf numFmtId="179" fontId="190" fillId="14" borderId="5" xfId="0" applyNumberFormat="1" applyFont="1" applyFill="1" applyBorder="1"/>
    <xf numFmtId="179" fontId="51" fillId="14" borderId="5" xfId="0" applyNumberFormat="1" applyFont="1" applyFill="1" applyBorder="1" applyAlignment="1">
      <alignment horizontal="center"/>
    </xf>
    <xf numFmtId="0" fontId="191" fillId="15" borderId="5" xfId="0" applyFont="1" applyFill="1" applyBorder="1"/>
    <xf numFmtId="0" fontId="192" fillId="15" borderId="5" xfId="0" applyFont="1" applyFill="1" applyBorder="1"/>
    <xf numFmtId="0" fontId="9" fillId="15" borderId="6" xfId="0" applyFont="1" applyFill="1" applyBorder="1" applyAlignment="1">
      <alignment horizontal="right"/>
    </xf>
    <xf numFmtId="0" fontId="9" fillId="15" borderId="13" xfId="0" applyFont="1" applyFill="1" applyBorder="1" applyAlignment="1">
      <alignment horizontal="center"/>
    </xf>
    <xf numFmtId="178" fontId="193" fillId="14" borderId="5" xfId="0" applyNumberFormat="1" applyFont="1" applyFill="1" applyBorder="1"/>
    <xf numFmtId="14" fontId="194" fillId="15" borderId="6" xfId="0" applyNumberFormat="1" applyFont="1" applyFill="1" applyBorder="1"/>
    <xf numFmtId="179" fontId="10" fillId="14" borderId="0" xfId="0" applyNumberFormat="1" applyFont="1" applyFill="1" applyAlignment="1">
      <alignment horizontal="center"/>
    </xf>
    <xf numFmtId="14" fontId="51" fillId="15" borderId="6" xfId="0" applyNumberFormat="1" applyFont="1" applyFill="1" applyBorder="1" applyAlignment="1">
      <alignment horizontal="center"/>
    </xf>
    <xf numFmtId="0" fontId="195" fillId="15" borderId="5" xfId="0" applyFont="1" applyFill="1" applyBorder="1"/>
    <xf numFmtId="0" fontId="26" fillId="14" borderId="20" xfId="0" applyFont="1" applyFill="1" applyBorder="1"/>
    <xf numFmtId="0" fontId="26" fillId="14" borderId="20" xfId="0" applyFont="1" applyFill="1" applyBorder="1" applyAlignment="1">
      <alignment horizontal="right"/>
    </xf>
    <xf numFmtId="179" fontId="196" fillId="15" borderId="0" xfId="0" applyNumberFormat="1" applyFont="1" applyFill="1"/>
    <xf numFmtId="0" fontId="197" fillId="15" borderId="0" xfId="0" applyFont="1" applyFill="1" applyAlignment="1">
      <alignment horizontal="center"/>
    </xf>
    <xf numFmtId="179" fontId="198" fillId="15" borderId="6" xfId="0" applyNumberFormat="1" applyFont="1" applyFill="1" applyBorder="1"/>
    <xf numFmtId="14" fontId="199" fillId="14" borderId="5" xfId="0" applyNumberFormat="1" applyFont="1" applyFill="1" applyBorder="1"/>
    <xf numFmtId="14" fontId="51" fillId="14" borderId="5" xfId="0" applyNumberFormat="1" applyFont="1" applyFill="1" applyBorder="1" applyAlignment="1">
      <alignment horizontal="center"/>
    </xf>
    <xf numFmtId="179" fontId="200" fillId="15" borderId="6" xfId="0" applyNumberFormat="1" applyFont="1" applyFill="1" applyBorder="1" applyAlignment="1">
      <alignment horizontal="center"/>
    </xf>
    <xf numFmtId="0" fontId="201" fillId="15" borderId="15" xfId="0" applyFont="1" applyFill="1" applyBorder="1" applyAlignment="1">
      <alignment horizontal="center"/>
    </xf>
    <xf numFmtId="0" fontId="202" fillId="14" borderId="8" xfId="0" applyFont="1" applyFill="1" applyBorder="1"/>
    <xf numFmtId="179" fontId="203" fillId="14" borderId="8" xfId="0" applyNumberFormat="1" applyFont="1" applyFill="1" applyBorder="1"/>
    <xf numFmtId="179" fontId="51" fillId="14" borderId="8" xfId="0" applyNumberFormat="1" applyFont="1" applyFill="1" applyBorder="1" applyAlignment="1">
      <alignment horizontal="center"/>
    </xf>
    <xf numFmtId="0" fontId="204" fillId="15" borderId="8" xfId="0" applyFont="1" applyFill="1" applyBorder="1" applyAlignment="1">
      <alignment horizontal="center"/>
    </xf>
    <xf numFmtId="0" fontId="205" fillId="15" borderId="15" xfId="0" applyFont="1" applyFill="1" applyBorder="1"/>
    <xf numFmtId="0" fontId="206" fillId="15" borderId="0" xfId="0" applyFont="1" applyFill="1" applyAlignment="1">
      <alignment horizontal="center"/>
    </xf>
    <xf numFmtId="0" fontId="207" fillId="15" borderId="16" xfId="0" applyFont="1" applyFill="1" applyBorder="1"/>
    <xf numFmtId="0" fontId="208" fillId="15" borderId="16" xfId="0" applyFont="1" applyFill="1" applyBorder="1"/>
    <xf numFmtId="0" fontId="26" fillId="14" borderId="5" xfId="0" quotePrefix="1" applyFont="1" applyFill="1" applyBorder="1"/>
    <xf numFmtId="14" fontId="26" fillId="14" borderId="5" xfId="0" applyNumberFormat="1" applyFont="1" applyFill="1" applyBorder="1" applyAlignment="1">
      <alignment horizontal="center"/>
    </xf>
    <xf numFmtId="179" fontId="209" fillId="15" borderId="5" xfId="0" applyNumberFormat="1" applyFont="1" applyFill="1" applyBorder="1"/>
    <xf numFmtId="14" fontId="210" fillId="15" borderId="5" xfId="0" applyNumberFormat="1" applyFont="1" applyFill="1" applyBorder="1"/>
    <xf numFmtId="14" fontId="26" fillId="15" borderId="5" xfId="0" applyNumberFormat="1" applyFont="1" applyFill="1" applyBorder="1" applyAlignment="1">
      <alignment horizontal="center"/>
    </xf>
    <xf numFmtId="14" fontId="26" fillId="14" borderId="6" xfId="0" applyNumberFormat="1" applyFont="1" applyFill="1" applyBorder="1" applyAlignment="1">
      <alignment horizontal="center"/>
    </xf>
    <xf numFmtId="0" fontId="26" fillId="15" borderId="0" xfId="0" applyFont="1" applyFill="1" applyAlignment="1">
      <alignment horizontal="center"/>
    </xf>
    <xf numFmtId="178" fontId="211" fillId="15" borderId="5" xfId="0" applyNumberFormat="1" applyFont="1" applyFill="1" applyBorder="1"/>
    <xf numFmtId="0" fontId="26" fillId="14" borderId="14" xfId="0" applyFont="1" applyFill="1" applyBorder="1"/>
    <xf numFmtId="0" fontId="9" fillId="14" borderId="14" xfId="0" applyFont="1" applyFill="1" applyBorder="1"/>
    <xf numFmtId="0" fontId="212" fillId="14" borderId="14" xfId="0" applyFont="1" applyFill="1" applyBorder="1"/>
    <xf numFmtId="181" fontId="26" fillId="14" borderId="0" xfId="0" applyNumberFormat="1" applyFont="1" applyFill="1" applyAlignment="1">
      <alignment horizontal="center"/>
    </xf>
    <xf numFmtId="0" fontId="213" fillId="15" borderId="8" xfId="0" applyFont="1" applyFill="1" applyBorder="1"/>
    <xf numFmtId="179" fontId="214" fillId="15" borderId="8" xfId="0" applyNumberFormat="1" applyFont="1" applyFill="1" applyBorder="1"/>
    <xf numFmtId="0" fontId="215" fillId="9" borderId="16" xfId="0" applyFont="1" applyFill="1" applyBorder="1"/>
    <xf numFmtId="0" fontId="216" fillId="15" borderId="0" xfId="0" applyFont="1" applyFill="1"/>
    <xf numFmtId="0" fontId="217" fillId="15" borderId="0" xfId="0" applyFont="1" applyFill="1"/>
    <xf numFmtId="0" fontId="218" fillId="15" borderId="5" xfId="0" applyFont="1" applyFill="1" applyBorder="1"/>
    <xf numFmtId="14" fontId="219" fillId="15" borderId="5" xfId="0" applyNumberFormat="1" applyFont="1" applyFill="1" applyBorder="1"/>
    <xf numFmtId="0" fontId="120" fillId="14" borderId="0" xfId="0" applyFont="1" applyFill="1" applyAlignment="1">
      <alignment horizontal="center"/>
    </xf>
    <xf numFmtId="0" fontId="9" fillId="15" borderId="21" xfId="0" applyFont="1" applyFill="1" applyBorder="1"/>
    <xf numFmtId="0" fontId="9" fillId="15" borderId="22" xfId="0" applyFont="1" applyFill="1" applyBorder="1"/>
    <xf numFmtId="0" fontId="220" fillId="14" borderId="0" xfId="0" applyFont="1" applyFill="1"/>
    <xf numFmtId="182" fontId="9" fillId="15" borderId="0" xfId="0" applyNumberFormat="1" applyFont="1" applyFill="1" applyAlignment="1">
      <alignment horizontal="right"/>
    </xf>
    <xf numFmtId="3" fontId="9" fillId="15" borderId="0" xfId="0" applyNumberFormat="1" applyFont="1" applyFill="1" applyAlignment="1">
      <alignment horizontal="right"/>
    </xf>
    <xf numFmtId="182" fontId="9" fillId="0" borderId="0" xfId="0" applyNumberFormat="1" applyFont="1" applyAlignment="1">
      <alignment horizontal="right"/>
    </xf>
    <xf numFmtId="0" fontId="221" fillId="26" borderId="0" xfId="0" applyFont="1" applyFill="1"/>
    <xf numFmtId="0" fontId="222" fillId="26" borderId="0" xfId="0" applyFont="1" applyFill="1"/>
    <xf numFmtId="182" fontId="9" fillId="26" borderId="0" xfId="0" applyNumberFormat="1" applyFont="1" applyFill="1" applyAlignment="1">
      <alignment horizontal="right"/>
    </xf>
    <xf numFmtId="0" fontId="9" fillId="26" borderId="0" xfId="0" applyFont="1" applyFill="1"/>
    <xf numFmtId="0" fontId="223" fillId="26" borderId="0" xfId="0" applyFont="1" applyFill="1"/>
    <xf numFmtId="0" fontId="9" fillId="26" borderId="0" xfId="0" applyFont="1" applyFill="1" applyAlignment="1">
      <alignment horizontal="right"/>
    </xf>
    <xf numFmtId="0" fontId="9" fillId="26" borderId="0" xfId="0" applyFont="1" applyFill="1" applyAlignment="1">
      <alignment horizontal="center"/>
    </xf>
    <xf numFmtId="0" fontId="224" fillId="26" borderId="0" xfId="0" applyFont="1" applyFill="1"/>
    <xf numFmtId="0" fontId="225" fillId="15" borderId="0" xfId="0" applyFont="1" applyFill="1" applyAlignment="1">
      <alignment horizontal="center"/>
    </xf>
    <xf numFmtId="0" fontId="225" fillId="27" borderId="0" xfId="0" applyFont="1" applyFill="1" applyAlignment="1">
      <alignment horizontal="center"/>
    </xf>
    <xf numFmtId="0" fontId="226" fillId="0" borderId="0" xfId="0" applyFont="1"/>
    <xf numFmtId="183" fontId="9" fillId="0" borderId="0" xfId="0" applyNumberFormat="1" applyFont="1" applyAlignment="1">
      <alignment horizontal="right"/>
    </xf>
    <xf numFmtId="0" fontId="227" fillId="0" borderId="0" xfId="0" applyFont="1"/>
    <xf numFmtId="0" fontId="9" fillId="0" borderId="0" xfId="0" quotePrefix="1" applyFont="1" applyAlignment="1">
      <alignment horizontal="right"/>
    </xf>
    <xf numFmtId="183" fontId="9" fillId="15" borderId="0" xfId="0" applyNumberFormat="1" applyFont="1" applyFill="1" applyAlignment="1">
      <alignment horizontal="right"/>
    </xf>
    <xf numFmtId="49" fontId="9" fillId="15" borderId="0" xfId="0" applyNumberFormat="1" applyFont="1" applyFill="1" applyAlignment="1">
      <alignment horizontal="right"/>
    </xf>
    <xf numFmtId="182" fontId="9" fillId="15" borderId="0" xfId="0" applyNumberFormat="1" applyFont="1" applyFill="1"/>
    <xf numFmtId="49" fontId="9" fillId="0" borderId="0" xfId="0" applyNumberFormat="1" applyFont="1" applyAlignment="1">
      <alignment horizontal="right"/>
    </xf>
    <xf numFmtId="49" fontId="9" fillId="0" borderId="0" xfId="0" applyNumberFormat="1" applyFont="1"/>
    <xf numFmtId="183" fontId="9" fillId="0" borderId="0" xfId="0" applyNumberFormat="1" applyFont="1"/>
    <xf numFmtId="0" fontId="9" fillId="10" borderId="0" xfId="0" applyFont="1" applyFill="1" applyAlignment="1">
      <alignment horizontal="center"/>
    </xf>
    <xf numFmtId="0" fontId="228" fillId="10" borderId="0" xfId="0" applyFont="1" applyFill="1"/>
    <xf numFmtId="0" fontId="229" fillId="0" borderId="0" xfId="0" applyFont="1"/>
    <xf numFmtId="0" fontId="230" fillId="0" borderId="0" xfId="0" applyFont="1"/>
    <xf numFmtId="0" fontId="231" fillId="15" borderId="0" xfId="0" applyFont="1" applyFill="1"/>
    <xf numFmtId="0" fontId="232" fillId="15" borderId="5" xfId="0" applyFont="1" applyFill="1" applyBorder="1"/>
    <xf numFmtId="0" fontId="233" fillId="15" borderId="0" xfId="0" applyFont="1" applyFill="1"/>
    <xf numFmtId="0" fontId="234" fillId="15" borderId="14" xfId="0" applyFont="1" applyFill="1" applyBorder="1"/>
    <xf numFmtId="0" fontId="235" fillId="15" borderId="5" xfId="0" applyFont="1" applyFill="1" applyBorder="1"/>
    <xf numFmtId="0" fontId="236" fillId="15" borderId="0" xfId="0" applyFont="1" applyFill="1" applyAlignment="1">
      <alignment horizontal="center"/>
    </xf>
    <xf numFmtId="0" fontId="236" fillId="15" borderId="0" xfId="0" applyFont="1" applyFill="1" applyAlignment="1">
      <alignment horizontal="right"/>
    </xf>
    <xf numFmtId="0" fontId="237" fillId="15" borderId="0" xfId="0" applyFont="1" applyFill="1"/>
    <xf numFmtId="0" fontId="236" fillId="14" borderId="0" xfId="0" applyFont="1" applyFill="1" applyAlignment="1">
      <alignment horizontal="center"/>
    </xf>
    <xf numFmtId="0" fontId="236" fillId="14" borderId="0" xfId="0" applyFont="1" applyFill="1" applyAlignment="1">
      <alignment horizontal="right"/>
    </xf>
    <xf numFmtId="0" fontId="236" fillId="15" borderId="0" xfId="0" quotePrefix="1" applyFont="1" applyFill="1" applyAlignment="1">
      <alignment horizontal="right"/>
    </xf>
    <xf numFmtId="0" fontId="238" fillId="14" borderId="0" xfId="0" applyFont="1" applyFill="1"/>
    <xf numFmtId="0" fontId="239" fillId="0" borderId="0" xfId="0" applyFont="1"/>
    <xf numFmtId="0" fontId="236" fillId="14" borderId="0" xfId="0" quotePrefix="1" applyFont="1" applyFill="1" applyAlignment="1">
      <alignment horizontal="right"/>
    </xf>
    <xf numFmtId="0" fontId="236" fillId="26" borderId="0" xfId="0" applyFont="1" applyFill="1" applyAlignment="1">
      <alignment horizontal="center"/>
    </xf>
    <xf numFmtId="0" fontId="236" fillId="26" borderId="0" xfId="0" applyFont="1" applyFill="1" applyAlignment="1">
      <alignment horizontal="right"/>
    </xf>
    <xf numFmtId="49" fontId="9" fillId="15" borderId="0" xfId="0" applyNumberFormat="1" applyFont="1" applyFill="1"/>
    <xf numFmtId="0" fontId="236" fillId="10" borderId="0" xfId="0" applyFont="1" applyFill="1" applyAlignment="1">
      <alignment horizontal="center"/>
    </xf>
    <xf numFmtId="0" fontId="236" fillId="10" borderId="0" xfId="0" applyFont="1" applyFill="1" applyAlignment="1">
      <alignment horizontal="right"/>
    </xf>
    <xf numFmtId="183" fontId="9" fillId="15" borderId="0" xfId="0" applyNumberFormat="1" applyFont="1" applyFill="1"/>
    <xf numFmtId="0" fontId="240" fillId="15" borderId="0" xfId="0" applyFont="1" applyFill="1" applyAlignment="1">
      <alignment horizontal="center"/>
    </xf>
    <xf numFmtId="0" fontId="241" fillId="15" borderId="0" xfId="0" applyFont="1" applyFill="1" applyAlignment="1">
      <alignment horizontal="right"/>
    </xf>
    <xf numFmtId="0" fontId="240" fillId="14" borderId="0" xfId="0" applyFont="1" applyFill="1" applyAlignment="1">
      <alignment horizontal="center"/>
    </xf>
    <xf numFmtId="0" fontId="241" fillId="14" borderId="0" xfId="0" applyFont="1" applyFill="1" applyAlignment="1">
      <alignment horizontal="right"/>
    </xf>
    <xf numFmtId="0" fontId="224" fillId="15" borderId="0" xfId="0" applyFont="1" applyFill="1" applyAlignment="1">
      <alignment horizontal="center"/>
    </xf>
    <xf numFmtId="0" fontId="242" fillId="15" borderId="0" xfId="0" applyFont="1" applyFill="1"/>
    <xf numFmtId="183" fontId="9" fillId="14" borderId="0" xfId="0" applyNumberFormat="1" applyFont="1" applyFill="1"/>
    <xf numFmtId="0" fontId="224" fillId="0" borderId="0" xfId="0" applyFont="1" applyAlignment="1">
      <alignment horizontal="center"/>
    </xf>
    <xf numFmtId="0" fontId="224" fillId="9" borderId="0" xfId="0" applyFont="1" applyFill="1" applyAlignment="1">
      <alignment horizontal="center"/>
    </xf>
    <xf numFmtId="0" fontId="243" fillId="9" borderId="0" xfId="0" applyFont="1" applyFill="1"/>
    <xf numFmtId="183" fontId="9" fillId="14" borderId="0" xfId="0" applyNumberFormat="1" applyFont="1" applyFill="1" applyAlignment="1">
      <alignment horizontal="right"/>
    </xf>
    <xf numFmtId="0" fontId="244" fillId="14" borderId="0" xfId="0" applyFont="1" applyFill="1"/>
    <xf numFmtId="49" fontId="9" fillId="14" borderId="0" xfId="0" applyNumberFormat="1" applyFont="1" applyFill="1" applyAlignment="1">
      <alignment horizontal="right"/>
    </xf>
    <xf numFmtId="49" fontId="9" fillId="14" borderId="0" xfId="0" applyNumberFormat="1" applyFont="1" applyFill="1"/>
    <xf numFmtId="0" fontId="245" fillId="14" borderId="0" xfId="0" applyFont="1" applyFill="1"/>
    <xf numFmtId="0" fontId="246" fillId="15" borderId="0" xfId="0" applyFont="1" applyFill="1"/>
    <xf numFmtId="0" fontId="247" fillId="15" borderId="0" xfId="0" applyFont="1" applyFill="1"/>
    <xf numFmtId="0" fontId="248" fillId="15" borderId="0" xfId="0" applyFont="1" applyFill="1"/>
    <xf numFmtId="0" fontId="236" fillId="14" borderId="0" xfId="0" applyFont="1" applyFill="1"/>
    <xf numFmtId="0" fontId="236" fillId="15" borderId="0" xfId="0" applyFont="1" applyFill="1"/>
    <xf numFmtId="0" fontId="236" fillId="14" borderId="0" xfId="0" quotePrefix="1" applyFont="1" applyFill="1"/>
    <xf numFmtId="0" fontId="236" fillId="10" borderId="0" xfId="0" applyFont="1" applyFill="1"/>
    <xf numFmtId="0" fontId="236" fillId="8" borderId="0" xfId="0" applyFont="1" applyFill="1" applyAlignment="1">
      <alignment horizontal="center"/>
    </xf>
    <xf numFmtId="0" fontId="236" fillId="8" borderId="0" xfId="0" quotePrefix="1" applyFont="1" applyFill="1" applyAlignment="1">
      <alignment horizontal="right"/>
    </xf>
    <xf numFmtId="0" fontId="249" fillId="8" borderId="0" xfId="0" applyFont="1" applyFill="1"/>
    <xf numFmtId="0" fontId="236" fillId="8" borderId="0" xfId="0" applyFont="1" applyFill="1" applyAlignment="1">
      <alignment horizontal="right"/>
    </xf>
    <xf numFmtId="0" fontId="9" fillId="8" borderId="0" xfId="0" applyFont="1" applyFill="1"/>
    <xf numFmtId="0" fontId="9" fillId="15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54" fillId="0" borderId="0" xfId="0" applyFont="1" applyAlignment="1">
      <alignment vertical="center"/>
    </xf>
  </cellXfs>
  <cellStyles count="1">
    <cellStyle name="표준" xfId="0" builtinId="0"/>
  </cellStyles>
  <dxfs count="12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60">
    <tableStyle name="6월 중화권 OWM(강남, 북촌, 성수, 종각, 이태원)-style" pivot="0" count="2" xr9:uid="{00000000-0011-0000-FFFF-FFFF00000000}">
      <tableStyleElement type="firstRowStripe" dxfId="119"/>
      <tableStyleElement type="secondRowStripe" dxfId="118"/>
    </tableStyle>
    <tableStyle name="6월 영미권 OWM(강남, 북촌, 성수, 종각, 이태원)-style" pivot="0" count="2" xr9:uid="{00000000-0011-0000-FFFF-FFFF01000000}">
      <tableStyleElement type="firstRowStripe" dxfId="117"/>
      <tableStyleElement type="secondRowStripe" dxfId="116"/>
    </tableStyle>
    <tableStyle name="종합-style" pivot="0" count="2" xr9:uid="{00000000-0011-0000-FFFF-FFFF02000000}">
      <tableStyleElement type="firstRowStripe" dxfId="115"/>
      <tableStyleElement type="secondRowStripe" dxfId="114"/>
    </tableStyle>
    <tableStyle name="종합-style 2" pivot="0" count="2" xr9:uid="{00000000-0011-0000-FFFF-FFFF03000000}">
      <tableStyleElement type="firstRowStripe" dxfId="113"/>
      <tableStyleElement type="secondRowStripe" dxfId="112"/>
    </tableStyle>
    <tableStyle name="6월 영미권 OWM(강남, 북촌, 성수, 종각, 이태원)-style 2" pivot="0" count="2" xr9:uid="{00000000-0011-0000-FFFF-FFFF04000000}">
      <tableStyleElement type="firstRowStripe" dxfId="111"/>
      <tableStyleElement type="secondRowStripe" dxfId="110"/>
    </tableStyle>
    <tableStyle name="6월 중화권 OWM(강남, 북촌, 성수, 종각, 이태원)-style 2" pivot="0" count="2" xr9:uid="{00000000-0011-0000-FFFF-FFFF05000000}">
      <tableStyleElement type="firstRowStripe" dxfId="109"/>
      <tableStyleElement type="secondRowStripe" dxfId="108"/>
    </tableStyle>
    <tableStyle name="6월 영미권 OWM(강남, 북촌, 성수, 종각, 이태원)-style 3" pivot="0" count="2" xr9:uid="{00000000-0011-0000-FFFF-FFFF06000000}">
      <tableStyleElement type="firstRowStripe" dxfId="107"/>
      <tableStyleElement type="secondRowStripe" dxfId="106"/>
    </tableStyle>
    <tableStyle name="종합-style 3" pivot="0" count="2" xr9:uid="{00000000-0011-0000-FFFF-FFFF07000000}">
      <tableStyleElement type="firstRowStripe" dxfId="105"/>
      <tableStyleElement type="secondRowStripe" dxfId="104"/>
    </tableStyle>
    <tableStyle name="6월 중화권 OWM(강남, 북촌, 성수, 종각, 이태원)-style 3" pivot="0" count="2" xr9:uid="{00000000-0011-0000-FFFF-FFFF08000000}">
      <tableStyleElement type="firstRowStripe" dxfId="103"/>
      <tableStyleElement type="secondRowStripe" dxfId="102"/>
    </tableStyle>
    <tableStyle name="6월 중화권 OWM(강남, 북촌, 성수, 종각, 이태원)-style 4" pivot="0" count="2" xr9:uid="{00000000-0011-0000-FFFF-FFFF09000000}">
      <tableStyleElement type="firstRowStripe" dxfId="101"/>
      <tableStyleElement type="secondRowStripe" dxfId="100"/>
    </tableStyle>
    <tableStyle name="6월 영미권 OWM(강남, 북촌, 성수, 종각, 이태원)-style 4" pivot="0" count="2" xr9:uid="{00000000-0011-0000-FFFF-FFFF0A000000}">
      <tableStyleElement type="firstRowStripe" dxfId="99"/>
      <tableStyleElement type="secondRowStripe" dxfId="98"/>
    </tableStyle>
    <tableStyle name="6월 영미권 OWM(강남, 북촌, 성수, 종각, 이태원)-style 5" pivot="0" count="2" xr9:uid="{00000000-0011-0000-FFFF-FFFF0B000000}">
      <tableStyleElement type="firstRowStripe" dxfId="97"/>
      <tableStyleElement type="secondRowStripe" dxfId="96"/>
    </tableStyle>
    <tableStyle name="6월 중화권 OWM(강남, 북촌, 성수, 종각, 이태원)-style 5" pivot="0" count="2" xr9:uid="{00000000-0011-0000-FFFF-FFFF0C000000}">
      <tableStyleElement type="firstRowStripe" dxfId="95"/>
      <tableStyleElement type="secondRowStripe" dxfId="94"/>
    </tableStyle>
    <tableStyle name="6월 영미권 OWM(강남, 북촌, 성수, 종각, 이태원)-style 6" pivot="0" count="2" xr9:uid="{00000000-0011-0000-FFFF-FFFF0D000000}">
      <tableStyleElement type="firstRowStripe" dxfId="93"/>
      <tableStyleElement type="secondRowStripe" dxfId="92"/>
    </tableStyle>
    <tableStyle name="6월 중화권 OWM(강남, 북촌, 성수, 종각, 이태원)-style 6" pivot="0" count="2" xr9:uid="{00000000-0011-0000-FFFF-FFFF0E000000}">
      <tableStyleElement type="firstRowStripe" dxfId="91"/>
      <tableStyleElement type="secondRowStripe" dxfId="90"/>
    </tableStyle>
    <tableStyle name="6월 영미권 OWM(강남, 북촌, 성수, 종각, 이태원)-style 7" pivot="0" count="2" xr9:uid="{00000000-0011-0000-FFFF-FFFF0F000000}">
      <tableStyleElement type="firstRowStripe" dxfId="89"/>
      <tableStyleElement type="secondRowStripe" dxfId="88"/>
    </tableStyle>
    <tableStyle name="6월 영미권 OWM(강남, 북촌, 성수, 종각, 이태원)-style 8" pivot="0" count="2" xr9:uid="{00000000-0011-0000-FFFF-FFFF10000000}">
      <tableStyleElement type="firstRowStripe" dxfId="87"/>
      <tableStyleElement type="secondRowStripe" dxfId="86"/>
    </tableStyle>
    <tableStyle name="6월 영미권 OWM(강남, 북촌, 성수, 종각, 이태원)-style 9" pivot="0" count="2" xr9:uid="{00000000-0011-0000-FFFF-FFFF11000000}">
      <tableStyleElement type="firstRowStripe" dxfId="85"/>
      <tableStyleElement type="secondRowStripe" dxfId="84"/>
    </tableStyle>
    <tableStyle name="6월 중화권 OWM(강남, 북촌, 성수, 종각, 이태원)-style 7" pivot="0" count="2" xr9:uid="{00000000-0011-0000-FFFF-FFFF12000000}">
      <tableStyleElement type="firstRowStripe" dxfId="83"/>
      <tableStyleElement type="secondRowStripe" dxfId="82"/>
    </tableStyle>
    <tableStyle name="4,5월 성수지점-style" pivot="0" count="2" xr9:uid="{00000000-0011-0000-FFFF-FFFF13000000}">
      <tableStyleElement type="firstRowStripe" dxfId="81"/>
      <tableStyleElement type="secondRowStripe" dxfId="80"/>
    </tableStyle>
    <tableStyle name="4,5월  레포트 원본-style" pivot="0" count="2" xr9:uid="{00000000-0011-0000-FFFF-FFFF14000000}">
      <tableStyleElement type="firstRowStripe" dxfId="79"/>
      <tableStyleElement type="secondRowStripe" dxfId="78"/>
    </tableStyle>
    <tableStyle name="4,5월  레포트 원본-style 2" pivot="0" count="2" xr9:uid="{00000000-0011-0000-FFFF-FFFF15000000}">
      <tableStyleElement type="firstRowStripe" dxfId="77"/>
      <tableStyleElement type="secondRowStripe" dxfId="76"/>
    </tableStyle>
    <tableStyle name="4,5월  레포트 원본-style 3" pivot="0" count="2" xr9:uid="{00000000-0011-0000-FFFF-FFFF16000000}">
      <tableStyleElement type="firstRowStripe" dxfId="75"/>
      <tableStyleElement type="secondRowStripe" dxfId="74"/>
    </tableStyle>
    <tableStyle name="4,5월  레포트 원본-style 4" pivot="0" count="2" xr9:uid="{00000000-0011-0000-FFFF-FFFF17000000}">
      <tableStyleElement type="firstRowStripe" dxfId="73"/>
      <tableStyleElement type="secondRowStripe" dxfId="72"/>
    </tableStyle>
    <tableStyle name="4,5월  레포트 원본-style 5" pivot="0" count="2" xr9:uid="{00000000-0011-0000-FFFF-FFFF18000000}">
      <tableStyleElement type="firstRowStripe" dxfId="71"/>
      <tableStyleElement type="secondRowStripe" dxfId="70"/>
    </tableStyle>
    <tableStyle name="4,5월  레포트 원본-style 6" pivot="0" count="2" xr9:uid="{00000000-0011-0000-FFFF-FFFF19000000}">
      <tableStyleElement type="firstRowStripe" dxfId="69"/>
      <tableStyleElement type="secondRowStripe" dxfId="68"/>
    </tableStyle>
    <tableStyle name="이태원성수레포트-style" pivot="0" count="2" xr9:uid="{00000000-0011-0000-FFFF-FFFF1A000000}">
      <tableStyleElement type="firstRowStripe" dxfId="67"/>
      <tableStyleElement type="secondRowStripe" dxfId="66"/>
    </tableStyle>
    <tableStyle name="이태원성수레포트-style 2" pivot="0" count="2" xr9:uid="{00000000-0011-0000-FFFF-FFFF1B000000}">
      <tableStyleElement type="firstRowStripe" dxfId="65"/>
      <tableStyleElement type="secondRowStripe" dxfId="64"/>
    </tableStyle>
    <tableStyle name="이태원성수레포트-style 3" pivot="0" count="2" xr9:uid="{00000000-0011-0000-FFFF-FFFF1C000000}">
      <tableStyleElement type="firstRowStripe" dxfId="63"/>
      <tableStyleElement type="secondRowStripe" dxfId="62"/>
    </tableStyle>
    <tableStyle name="이태원성수레포트-style 4" pivot="0" count="2" xr9:uid="{00000000-0011-0000-FFFF-FFFF1D000000}">
      <tableStyleElement type="firstRowStripe" dxfId="61"/>
      <tableStyleElement type="secondRowStripe" dxfId="60"/>
    </tableStyle>
    <tableStyle name="이태원성수레포트-style 5" pivot="0" count="2" xr9:uid="{00000000-0011-0000-FFFF-FFFF1E000000}">
      <tableStyleElement type="firstRowStripe" dxfId="59"/>
      <tableStyleElement type="secondRowStripe" dxfId="58"/>
    </tableStyle>
    <tableStyle name="이태원성수레포트-style 6" pivot="0" count="2" xr9:uid="{00000000-0011-0000-FFFF-FFFF1F000000}">
      <tableStyleElement type="firstRowStripe" dxfId="57"/>
      <tableStyleElement type="secondRowStripe" dxfId="56"/>
    </tableStyle>
    <tableStyle name="이태원성수레포트-style 7" pivot="0" count="2" xr9:uid="{00000000-0011-0000-FFFF-FFFF20000000}">
      <tableStyleElement type="firstRowStripe" dxfId="55"/>
      <tableStyleElement type="secondRowStripe" dxfId="54"/>
    </tableStyle>
    <tableStyle name="이태원성수레포트-style 8" pivot="0" count="2" xr9:uid="{00000000-0011-0000-FFFF-FFFF21000000}">
      <tableStyleElement type="firstRowStripe" dxfId="53"/>
      <tableStyleElement type="secondRowStripe" dxfId="52"/>
    </tableStyle>
    <tableStyle name="이태원성수레포트-style 9" pivot="0" count="2" xr9:uid="{00000000-0011-0000-FFFF-FFFF22000000}">
      <tableStyleElement type="firstRowStripe" dxfId="51"/>
      <tableStyleElement type="secondRowStripe" dxfId="50"/>
    </tableStyle>
    <tableStyle name="이태원성수레포트-style 10" pivot="0" count="2" xr9:uid="{00000000-0011-0000-FFFF-FFFF23000000}">
      <tableStyleElement type="firstRowStripe" dxfId="49"/>
      <tableStyleElement type="secondRowStripe" dxfId="48"/>
    </tableStyle>
    <tableStyle name="이태원성수레포트-style 11" pivot="0" count="2" xr9:uid="{00000000-0011-0000-FFFF-FFFF24000000}">
      <tableStyleElement type="firstRowStripe" dxfId="47"/>
      <tableStyleElement type="secondRowStripe" dxfId="46"/>
    </tableStyle>
    <tableStyle name="이태원성수레포트-style 12" pivot="0" count="2" xr9:uid="{00000000-0011-0000-FFFF-FFFF25000000}">
      <tableStyleElement type="firstRowStripe" dxfId="45"/>
      <tableStyleElement type="secondRowStripe" dxfId="44"/>
    </tableStyle>
    <tableStyle name="이태원성수레포트-style 13" pivot="0" count="2" xr9:uid="{00000000-0011-0000-FFFF-FFFF26000000}">
      <tableStyleElement type="firstRowStripe" dxfId="43"/>
      <tableStyleElement type="secondRowStripe" dxfId="42"/>
    </tableStyle>
    <tableStyle name="이태원성수레포트-style 14" pivot="0" count="2" xr9:uid="{00000000-0011-0000-FFFF-FFFF27000000}">
      <tableStyleElement type="firstRowStripe" dxfId="41"/>
      <tableStyleElement type="secondRowStripe" dxfId="40"/>
    </tableStyle>
    <tableStyle name="이태원성수레포트-style 15" pivot="0" count="2" xr9:uid="{00000000-0011-0000-FFFF-FFFF28000000}">
      <tableStyleElement type="firstRowStripe" dxfId="39"/>
      <tableStyleElement type="secondRowStripe" dxfId="38"/>
    </tableStyle>
    <tableStyle name="이태원성수레포트-style 16" pivot="0" count="2" xr9:uid="{00000000-0011-0000-FFFF-FFFF29000000}">
      <tableStyleElement type="firstRowStripe" dxfId="37"/>
      <tableStyleElement type="secondRowStripe" dxfId="36"/>
    </tableStyle>
    <tableStyle name="이태원성수레포트-style 17" pivot="0" count="2" xr9:uid="{00000000-0011-0000-FFFF-FFFF2A000000}">
      <tableStyleElement type="firstRowStripe" dxfId="35"/>
      <tableStyleElement type="secondRowStripe" dxfId="34"/>
    </tableStyle>
    <tableStyle name="이태원성수레포트-style 18" pivot="0" count="2" xr9:uid="{00000000-0011-0000-FFFF-FFFF2B000000}">
      <tableStyleElement type="firstRowStripe" dxfId="33"/>
      <tableStyleElement type="secondRowStripe" dxfId="32"/>
    </tableStyle>
    <tableStyle name="이태원성수레포트-style 19" pivot="0" count="2" xr9:uid="{00000000-0011-0000-FFFF-FFFF2C000000}">
      <tableStyleElement type="firstRowStripe" dxfId="31"/>
      <tableStyleElement type="secondRowStripe" dxfId="30"/>
    </tableStyle>
    <tableStyle name="이태원성수레포트-style 20" pivot="0" count="2" xr9:uid="{00000000-0011-0000-FFFF-FFFF2D000000}">
      <tableStyleElement type="firstRowStripe" dxfId="29"/>
      <tableStyleElement type="secondRowStripe" dxfId="28"/>
    </tableStyle>
    <tableStyle name="이태원성수레포트-style 21" pivot="0" count="2" xr9:uid="{00000000-0011-0000-FFFF-FFFF2E000000}">
      <tableStyleElement type="firstRowStripe" dxfId="27"/>
      <tableStyleElement type="secondRowStripe" dxfId="26"/>
    </tableStyle>
    <tableStyle name="이태원성수레포트-style 22" pivot="0" count="2" xr9:uid="{00000000-0011-0000-FFFF-FFFF2F000000}">
      <tableStyleElement type="firstRowStripe" dxfId="25"/>
      <tableStyleElement type="secondRowStripe" dxfId="24"/>
    </tableStyle>
    <tableStyle name="이태원성수레포트-style 23" pivot="0" count="2" xr9:uid="{00000000-0011-0000-FFFF-FFFF30000000}">
      <tableStyleElement type="firstRowStripe" dxfId="23"/>
      <tableStyleElement type="secondRowStripe" dxfId="22"/>
    </tableStyle>
    <tableStyle name="이태원성수레포트-style 24" pivot="0" count="2" xr9:uid="{00000000-0011-0000-FFFF-FFFF31000000}">
      <tableStyleElement type="firstRowStripe" dxfId="21"/>
      <tableStyleElement type="secondRowStripe" dxfId="20"/>
    </tableStyle>
    <tableStyle name="이태원성수레포트-style 25" pivot="0" count="2" xr9:uid="{00000000-0011-0000-FFFF-FFFF32000000}">
      <tableStyleElement type="firstRowStripe" dxfId="19"/>
      <tableStyleElement type="secondRowStripe" dxfId="18"/>
    </tableStyle>
    <tableStyle name="이태원성수레포트-style 26" pivot="0" count="2" xr9:uid="{00000000-0011-0000-FFFF-FFFF33000000}">
      <tableStyleElement type="firstRowStripe" dxfId="17"/>
      <tableStyleElement type="secondRowStripe" dxfId="16"/>
    </tableStyle>
    <tableStyle name="이태원성수레포트-style 27" pivot="0" count="2" xr9:uid="{00000000-0011-0000-FFFF-FFFF34000000}">
      <tableStyleElement type="firstRowStripe" dxfId="15"/>
      <tableStyleElement type="secondRowStripe" dxfId="14"/>
    </tableStyle>
    <tableStyle name="이태원성수레포트-style 28" pivot="0" count="2" xr9:uid="{00000000-0011-0000-FFFF-FFFF35000000}">
      <tableStyleElement type="firstRowStripe" dxfId="13"/>
      <tableStyleElement type="secondRowStripe" dxfId="12"/>
    </tableStyle>
    <tableStyle name="두지점통합레포트-style" pivot="0" count="2" xr9:uid="{00000000-0011-0000-FFFF-FFFF36000000}">
      <tableStyleElement type="firstRowStripe" dxfId="11"/>
      <tableStyleElement type="secondRowStripe" dxfId="10"/>
    </tableStyle>
    <tableStyle name="두지점통합레포트-style 2" pivot="0" count="2" xr9:uid="{00000000-0011-0000-FFFF-FFFF37000000}">
      <tableStyleElement type="firstRowStripe" dxfId="9"/>
      <tableStyleElement type="secondRowStripe" dxfId="8"/>
    </tableStyle>
    <tableStyle name="두지점통합레포트-style 3" pivot="0" count="2" xr9:uid="{00000000-0011-0000-FFFF-FFFF38000000}">
      <tableStyleElement type="firstRowStripe" dxfId="7"/>
      <tableStyleElement type="secondRowStripe" dxfId="6"/>
    </tableStyle>
    <tableStyle name="두지점통합레포트-style 4" pivot="0" count="2" xr9:uid="{00000000-0011-0000-FFFF-FFFF39000000}">
      <tableStyleElement type="firstRowStripe" dxfId="5"/>
      <tableStyleElement type="secondRowStripe" dxfId="4"/>
    </tableStyle>
    <tableStyle name="두지점통합레포트-style 5" pivot="0" count="2" xr9:uid="{00000000-0011-0000-FFFF-FFFF3A000000}">
      <tableStyleElement type="firstRowStripe" dxfId="3"/>
      <tableStyleElement type="secondRowStripe" dxfId="2"/>
    </tableStyle>
    <tableStyle name="두지점통합레포트-style 6" pivot="0" count="2" xr9:uid="{00000000-0011-0000-FFFF-FFFF3B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브랜드슬램 OWM 지점별 방문 인원수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'지점별 방문 인원'!$B$1</c:f>
              <c:strCache>
                <c:ptCount val="1"/>
                <c:pt idx="0">
                  <c:v>방문 인원수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'지점별 방문 인원'!$A$2:$A$7</c:f>
              <c:strCache>
                <c:ptCount val="6"/>
                <c:pt idx="0">
                  <c:v>이태원</c:v>
                </c:pt>
                <c:pt idx="1">
                  <c:v>성수</c:v>
                </c:pt>
                <c:pt idx="2">
                  <c:v>북촌</c:v>
                </c:pt>
                <c:pt idx="3">
                  <c:v>강남</c:v>
                </c:pt>
                <c:pt idx="4">
                  <c:v>종각</c:v>
                </c:pt>
                <c:pt idx="5">
                  <c:v>신사</c:v>
                </c:pt>
              </c:strCache>
            </c:strRef>
          </c:cat>
          <c:val>
            <c:numRef>
              <c:f>'지점별 방문 인원'!$B$2:$B$7</c:f>
              <c:numCache>
                <c:formatCode>General</c:formatCode>
                <c:ptCount val="6"/>
                <c:pt idx="0">
                  <c:v>34</c:v>
                </c:pt>
                <c:pt idx="1">
                  <c:v>21</c:v>
                </c:pt>
                <c:pt idx="2">
                  <c:v>20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CC-CC40-92A2-F447622E7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1810434"/>
        <c:axId val="1558605701"/>
      </c:barChart>
      <c:catAx>
        <c:axId val="1791810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지점명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558605701"/>
        <c:crosses val="autoZero"/>
        <c:auto val="1"/>
        <c:lblAlgn val="ctr"/>
        <c:lblOffset val="100"/>
        <c:noMultiLvlLbl val="1"/>
      </c:catAx>
      <c:valAx>
        <c:axId val="1558605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방문 인원수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79181043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8</xdr:row>
      <xdr:rowOff>0</xdr:rowOff>
    </xdr:from>
    <xdr:ext cx="5715000" cy="3810000"/>
    <xdr:graphicFrame macro="">
      <xdr:nvGraphicFramePr>
        <xdr:cNvPr id="2" name="Chart 1" title="지점별 방문 인원수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L33" headerRowCount="0">
  <tableColumns count="1">
    <tableColumn id="1" xr3:uid="{00000000-0010-0000-0000-000001000000}" name="Column1"/>
  </tableColumns>
  <tableStyleInfo name="종합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4" displayName="Table_4" ref="L35" headerRowCount="0">
  <tableColumns count="1">
    <tableColumn id="1" xr3:uid="{00000000-0010-0000-0100-000001000000}" name="Column1"/>
  </tableColumns>
  <tableStyleInfo name="종합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_8" displayName="Table_8" ref="K110:P111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종합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_2" displayName="Table_2" ref="A2:I10" headerRowCount="0">
  <tableColumns count="9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</tableColumns>
  <tableStyleInfo name="6월 영미권 OWM(강남, 북촌, 성수, 종각, 이태원)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1:I14" headerRowCount="0">
  <tableColumns count="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6월 영미권 OWM(강남, 북촌, 성수, 종각, 이태원)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_7" displayName="Table_7" ref="L12:Y13" headerRowCount="0">
  <tableColumns count="1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</tableColumns>
  <tableStyleInfo name="6월 영미권 OWM(강남, 북촌, 성수, 종각, 이태원)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e_11" displayName="Table_11" ref="A15:I18" headerRowCount="0">
  <tableColumns count="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name="6월 영미권 OWM(강남, 북촌, 성수, 종각, 이태원)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_12" displayName="Table_12" ref="A20:I20" headerRowCount="0">
  <tableColumns count="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6월 영미권 OWM(강남, 북촌, 성수, 종각, 이태원)-style 5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le_15" displayName="Table_15" ref="L20:Y20" headerRowCount="0">
  <tableColumns count="1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</tableColumns>
  <tableStyleInfo name="6월 영미권 OWM(강남, 북촌, 성수, 종각, 이태원)-style 6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Table_16" displayName="Table_16" ref="A21:Y23" headerRowCount="0">
  <tableColumns count="25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</tableColumns>
  <tableStyleInfo name="6월 영미권 OWM(강남, 북촌, 성수, 종각, 이태원)-style 7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A000000}" name="Table_17" displayName="Table_17" ref="A25:I32" headerRowCount="0">
  <tableColumns count="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6월 영미권 OWM(강남, 북촌, 성수, 종각, 이태원)-style 8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Table_19" displayName="Table_19" ref="M31:R31" headerRowCount="0">
  <tableColumns count="6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</tableColumns>
  <tableStyleInfo name="6월 영미권 OWM(강남, 북촌, 성수, 종각, 이태원)-style 9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C000000}" name="Table_3" displayName="Table_3" ref="A2:F14" headerRowCount="0">
  <tableColumns count="6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</tableColumns>
  <tableStyleInfo name="6월 중화권 OWM(강남, 북촌, 성수, 종각, 이태원)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D000000}" name="Table_6" displayName="Table_6" ref="A15:F18" headerRowCount="0">
  <tableColumns count="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</tableColumns>
  <tableStyleInfo name="6월 중화권 OWM(강남, 북촌, 성수, 종각, 이태원)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E000000}" name="Table_9" displayName="Table_9" ref="A19:F22" headerRowCount="0">
  <tableColumns count="6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</tableColumns>
  <tableStyleInfo name="6월 중화권 OWM(강남, 북촌, 성수, 종각, 이태원)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F000000}" name="Table_10" displayName="Table_10" ref="A24:F24" headerRowCount="0">
  <tableColumns count="6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</tableColumns>
  <tableStyleInfo name="6월 중화권 OWM(강남, 북촌, 성수, 종각, 이태원)-style 4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0000000}" name="Table_13" displayName="Table_13" ref="I24:L24" headerRowCount="0">
  <tableColumns count="4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</tableColumns>
  <tableStyleInfo name="6월 중화권 OWM(강남, 북촌, 성수, 종각, 이태원)-style 5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1000000}" name="Table_14" displayName="Table_14" ref="A25:L25" headerRowCount="0">
  <tableColumns count="12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</tableColumns>
  <tableStyleInfo name="6월 중화권 OWM(강남, 북촌, 성수, 종각, 이태원)-style 6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Table_18" displayName="Table_18" ref="A26:F38" headerRowCount="0">
  <tableColumns count="6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</tableColumns>
  <tableStyleInfo name="6월 중화권 OWM(강남, 북촌, 성수, 종각, 이태원)-style 7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L16:L17" headerRowCount="0">
  <tableColumns count="1">
    <tableColumn id="1" xr3:uid="{00000000-0010-0000-1300-000001000000}" name="Column1"/>
  </tableColumns>
  <tableStyleInfo name="4,5월 성수지점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2:B2" headerRowCount="0">
  <tableColumns count="2">
    <tableColumn id="1" xr3:uid="{00000000-0010-0000-1400-000001000000}" name="Column1"/>
    <tableColumn id="2" xr3:uid="{00000000-0010-0000-1400-000002000000}" name="Column2"/>
  </tableColumns>
  <tableStyleInfo name="4,5월  레포트 원본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I2:W3" headerRowCount="0">
  <tableColumns count="15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  <tableColumn id="14" xr3:uid="{00000000-0010-0000-1500-00000E000000}" name="Column14"/>
    <tableColumn id="15" xr3:uid="{00000000-0010-0000-1500-00000F000000}" name="Column15"/>
  </tableColumns>
  <tableStyleInfo name="4,5월  레포트 원본-style 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E6:F6" headerRowCount="0">
  <tableColumns count="2">
    <tableColumn id="1" xr3:uid="{00000000-0010-0000-1600-000001000000}" name="Column1"/>
    <tableColumn id="2" xr3:uid="{00000000-0010-0000-1600-000002000000}" name="Column2"/>
  </tableColumns>
  <tableStyleInfo name="4,5월  레포트 원본-style 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G6" headerRowCount="0">
  <tableColumns count="1">
    <tableColumn id="1" xr3:uid="{00000000-0010-0000-1700-000001000000}" name="Column1"/>
  </tableColumns>
  <tableStyleInfo name="4,5월  레포트 원본-style 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A10:G31" headerRowCount="0">
  <tableColumns count="7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</tableColumns>
  <tableStyleInfo name="4,5월  레포트 원본-style 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Q31:R31" headerRowCount="0">
  <tableColumns count="2">
    <tableColumn id="1" xr3:uid="{00000000-0010-0000-1900-000001000000}" name="Column1"/>
    <tableColumn id="2" xr3:uid="{00000000-0010-0000-1900-000002000000}" name="Column2"/>
  </tableColumns>
  <tableStyleInfo name="4,5월  레포트 원본-style 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2:B2" headerRowCount="0">
  <tableColumns count="2">
    <tableColumn id="1" xr3:uid="{00000000-0010-0000-1A00-000001000000}" name="Column1"/>
    <tableColumn id="2" xr3:uid="{00000000-0010-0000-1A00-000002000000}" name="Column2"/>
  </tableColumns>
  <tableStyleInfo name="이태원성수레포트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H2:M3" headerRowCount="0">
  <tableColumns count="6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</tableColumns>
  <tableStyleInfo name="이태원성수레포트-style 2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D6" headerRowCount="0">
  <tableColumns count="1">
    <tableColumn id="1" xr3:uid="{00000000-0010-0000-1C00-000001000000}" name="Column1"/>
  </tableColumns>
  <tableStyleInfo name="이태원성수레포트-style 3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E6" headerRowCount="0">
  <tableColumns count="1">
    <tableColumn id="1" xr3:uid="{00000000-0010-0000-1D00-000001000000}" name="Column1"/>
  </tableColumns>
  <tableStyleInfo name="이태원성수레포트-style 4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A10:E1027" headerRowCount="0">
  <tableColumns count="5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</tableColumns>
  <tableStyleInfo name="이태원성수레포트-style 5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N54" headerRowCount="0">
  <tableColumns count="1">
    <tableColumn id="1" xr3:uid="{00000000-0010-0000-1F00-000001000000}" name="Column1"/>
  </tableColumns>
  <tableStyleInfo name="이태원성수레포트-style 6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O54:R54" headerRowCount="0">
  <tableColumns count="4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</tableColumns>
  <tableStyleInfo name="이태원성수레포트-style 7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T54:V54" headerRowCount="0">
  <tableColumns count="3">
    <tableColumn id="1" xr3:uid="{00000000-0010-0000-2100-000001000000}" name="Column1"/>
    <tableColumn id="2" xr3:uid="{00000000-0010-0000-2100-000002000000}" name="Column2"/>
    <tableColumn id="3" xr3:uid="{00000000-0010-0000-2100-000003000000}" name="Column3"/>
  </tableColumns>
  <tableStyleInfo name="이태원성수레포트-style 8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H77" headerRowCount="0">
  <tableColumns count="1">
    <tableColumn id="1" xr3:uid="{00000000-0010-0000-2200-000001000000}" name="Column1"/>
  </tableColumns>
  <tableStyleInfo name="이태원성수레포트-style 9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N77" headerRowCount="0">
  <tableColumns count="1">
    <tableColumn id="1" xr3:uid="{00000000-0010-0000-2300-000001000000}" name="Column1"/>
  </tableColumns>
  <tableStyleInfo name="이태원성수레포트-style 10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P77:R77" headerRowCount="0">
  <tableColumns count="3">
    <tableColumn id="1" xr3:uid="{00000000-0010-0000-2400-000001000000}" name="Column1"/>
    <tableColumn id="2" xr3:uid="{00000000-0010-0000-2400-000002000000}" name="Column2"/>
    <tableColumn id="3" xr3:uid="{00000000-0010-0000-2400-000003000000}" name="Column3"/>
  </tableColumns>
  <tableStyleInfo name="이태원성수레포트-style 11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N82:S82" headerRowCount="0">
  <tableColumns count="6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</tableColumns>
  <tableStyleInfo name="이태원성수레포트-style 12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T82:U82" headerRowCount="0">
  <tableColumns count="2">
    <tableColumn id="1" xr3:uid="{00000000-0010-0000-2600-000001000000}" name="Column1"/>
    <tableColumn id="2" xr3:uid="{00000000-0010-0000-2600-000002000000}" name="Column2"/>
  </tableColumns>
  <tableStyleInfo name="이태원성수레포트-style 13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G85:L173" headerRowCount="0">
  <tableColumns count="6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</tableColumns>
  <tableStyleInfo name="이태원성수레포트-style 14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U85:U95" headerRowCount="0">
  <tableColumns count="1">
    <tableColumn id="1" xr3:uid="{00000000-0010-0000-2800-000001000000}" name="Column1"/>
  </tableColumns>
  <tableStyleInfo name="이태원성수레포트-style 15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N148" headerRowCount="0">
  <tableColumns count="1">
    <tableColumn id="1" xr3:uid="{00000000-0010-0000-2900-000001000000}" name="Column1"/>
  </tableColumns>
  <tableStyleInfo name="이태원성수레포트-style 16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O148:R148" headerRowCount="0">
  <tableColumns count="4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</tableColumns>
  <tableStyleInfo name="이태원성수레포트-style 17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U148:V148" headerRowCount="0">
  <tableColumns count="2">
    <tableColumn id="1" xr3:uid="{00000000-0010-0000-2B00-000001000000}" name="Column1"/>
    <tableColumn id="2" xr3:uid="{00000000-0010-0000-2B00-000002000000}" name="Column2"/>
  </tableColumns>
  <tableStyleInfo name="이태원성수레포트-style 18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N173" headerRowCount="0">
  <tableColumns count="1">
    <tableColumn id="1" xr3:uid="{00000000-0010-0000-2C00-000001000000}" name="Column1"/>
  </tableColumns>
  <tableStyleInfo name="이태원성수레포트-style 19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O173:R173" headerRowCount="0">
  <tableColumns count="4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</tableColumns>
  <tableStyleInfo name="이태원성수레포트-style 20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T173:V173" headerRowCount="0">
  <tableColumns count="3">
    <tableColumn id="1" xr3:uid="{00000000-0010-0000-2E00-000001000000}" name="Column1"/>
    <tableColumn id="2" xr3:uid="{00000000-0010-0000-2E00-000002000000}" name="Column2"/>
    <tableColumn id="3" xr3:uid="{00000000-0010-0000-2E00-000003000000}" name="Column3"/>
  </tableColumns>
  <tableStyleInfo name="이태원성수레포트-style 21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G182:I251" headerRowCount="0">
  <tableColumns count="3">
    <tableColumn id="1" xr3:uid="{00000000-0010-0000-2F00-000001000000}" name="Column1"/>
    <tableColumn id="2" xr3:uid="{00000000-0010-0000-2F00-000002000000}" name="Column2"/>
    <tableColumn id="3" xr3:uid="{00000000-0010-0000-2F00-000003000000}" name="Column3"/>
  </tableColumns>
  <tableStyleInfo name="이태원성수레포트-style 22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N182:N183" headerRowCount="0">
  <tableColumns count="1">
    <tableColumn id="1" xr3:uid="{00000000-0010-0000-3000-000001000000}" name="Column1"/>
  </tableColumns>
  <tableStyleInfo name="이태원성수레포트-style 23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O182:R183" headerRowCount="0">
  <tableColumns count="4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</tableColumns>
  <tableStyleInfo name="이태원성수레포트-style 24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U182:V183" headerRowCount="0">
  <tableColumns count="2">
    <tableColumn id="1" xr3:uid="{00000000-0010-0000-3200-000001000000}" name="Column1"/>
    <tableColumn id="2" xr3:uid="{00000000-0010-0000-3200-000002000000}" name="Column2"/>
  </tableColumns>
  <tableStyleInfo name="이태원성수레포트-style 25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N186:N246" headerRowCount="0">
  <tableColumns count="1">
    <tableColumn id="1" xr3:uid="{00000000-0010-0000-3300-000001000000}" name="Column1"/>
  </tableColumns>
  <tableStyleInfo name="이태원성수레포트-style 26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O186:R246" headerRowCount="0">
  <tableColumns count="4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</tableColumns>
  <tableStyleInfo name="이태원성수레포트-style 27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T186:V246" headerRowCount="0">
  <tableColumns count="3">
    <tableColumn id="1" xr3:uid="{00000000-0010-0000-3500-000001000000}" name="Column1"/>
    <tableColumn id="2" xr3:uid="{00000000-0010-0000-3500-000002000000}" name="Column2"/>
    <tableColumn id="3" xr3:uid="{00000000-0010-0000-3500-000003000000}" name="Column3"/>
  </tableColumns>
  <tableStyleInfo name="이태원성수레포트-style 28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A2:B2" headerRowCount="0">
  <tableColumns count="2">
    <tableColumn id="1" xr3:uid="{00000000-0010-0000-3600-000001000000}" name="Column1"/>
    <tableColumn id="2" xr3:uid="{00000000-0010-0000-3600-000002000000}" name="Column2"/>
  </tableColumns>
  <tableStyleInfo name="두지점통합레포트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G2:K3" headerRowCount="0">
  <tableColumns count="5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  <tableColumn id="5" xr3:uid="{00000000-0010-0000-3700-000005000000}" name="Column5"/>
  </tableColumns>
  <tableStyleInfo name="두지점통합레포트-style 2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D6" headerRowCount="0">
  <tableColumns count="1">
    <tableColumn id="1" xr3:uid="{00000000-0010-0000-3800-000001000000}" name="Column1"/>
  </tableColumns>
  <tableStyleInfo name="두지점통합레포트-style 3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E6" headerRowCount="0">
  <tableColumns count="1">
    <tableColumn id="1" xr3:uid="{00000000-0010-0000-3900-000001000000}" name="Column1"/>
  </tableColumns>
  <tableStyleInfo name="두지점통합레포트-style 4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A10:E31" headerRowCount="0">
  <tableColumns count="5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  <tableColumn id="5" xr3:uid="{00000000-0010-0000-3A00-000005000000}" name="Column5"/>
  </tableColumns>
  <tableStyleInfo name="두지점통합레포트-style 5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L31" headerRowCount="0">
  <tableColumns count="1">
    <tableColumn id="1" xr3:uid="{00000000-0010-0000-3B00-000001000000}" name="Column1"/>
  </tableColumns>
  <tableStyleInfo name="두지점통합레포트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itsmyseoullife/video/7650069357443157268?_r=1&amp;_t=ZS-9503VuDaPmX" TargetMode="External"/><Relationship Id="rId13" Type="http://schemas.openxmlformats.org/officeDocument/2006/relationships/hyperlink" Target="https://www.tiktok.com/@tracesofcal/video/7655485432431512850?_r=1&amp;_t=ZS-96utzO0kKhA" TargetMode="External"/><Relationship Id="rId18" Type="http://schemas.openxmlformats.org/officeDocument/2006/relationships/hyperlink" Target="http://xhslink.com/o/BB6uMJMHgj" TargetMode="External"/><Relationship Id="rId3" Type="http://schemas.openxmlformats.org/officeDocument/2006/relationships/hyperlink" Target="https://www.instagram.com/reel/DaDVMT_qIWB/" TargetMode="External"/><Relationship Id="rId21" Type="http://schemas.openxmlformats.org/officeDocument/2006/relationships/table" Target="../tables/table3.xml"/><Relationship Id="rId7" Type="http://schemas.openxmlformats.org/officeDocument/2006/relationships/hyperlink" Target="https://www.instagram.com/reel/DZdwA7gPpdo/" TargetMode="External"/><Relationship Id="rId12" Type="http://schemas.openxmlformats.org/officeDocument/2006/relationships/hyperlink" Target="https://vt.tiktok.com/ZSC7U79K5/" TargetMode="External"/><Relationship Id="rId17" Type="http://schemas.openxmlformats.org/officeDocument/2006/relationships/hyperlink" Target="https://vt.tiktok.com/ZSCPe8BRA/" TargetMode="External"/><Relationship Id="rId2" Type="http://schemas.openxmlformats.org/officeDocument/2006/relationships/hyperlink" Target="https://www.instagram.com/reel/DZtKiXXzrOa/" TargetMode="External"/><Relationship Id="rId16" Type="http://schemas.openxmlformats.org/officeDocument/2006/relationships/hyperlink" Target="https://www.tiktok.com/@maansimadetales/video/7655559517853469973?_r=1&amp;_t=ZS-96s60OxhnrY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www.instagram.com/reel/DZmsOSWpDyk/" TargetMode="External"/><Relationship Id="rId6" Type="http://schemas.openxmlformats.org/officeDocument/2006/relationships/hyperlink" Target="https://www.tiktok.com/@saminamina_07/video/7649655873974881554?_r=1&amp;_t=ZS-96uxa9N5u24" TargetMode="External"/><Relationship Id="rId11" Type="http://schemas.openxmlformats.org/officeDocument/2006/relationships/hyperlink" Target="https://www.instagram.com/reel/DZr8dF9TmHf/" TargetMode="External"/><Relationship Id="rId5" Type="http://schemas.openxmlformats.org/officeDocument/2006/relationships/hyperlink" Target="http://xhslink.com/o/9UB54z4zUAj" TargetMode="External"/><Relationship Id="rId15" Type="http://schemas.openxmlformats.org/officeDocument/2006/relationships/hyperlink" Target="http://xhslink.com/o/3YGAVIkgHMd" TargetMode="External"/><Relationship Id="rId10" Type="http://schemas.openxmlformats.org/officeDocument/2006/relationships/hyperlink" Target="https://www.tiktok.com/@wondralice/video/7650894454072757524?_r=1&amp;_t=ZS-96p1y8OVIma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://xhslink.com/o/1e2csEWTl2f" TargetMode="External"/><Relationship Id="rId9" Type="http://schemas.openxmlformats.org/officeDocument/2006/relationships/hyperlink" Target="https://www.tiktok.com/@erica.scoro/video/7654023475627052309?_r=1&amp;_t=ZS-96rqAsToYpV" TargetMode="External"/><Relationship Id="rId14" Type="http://schemas.openxmlformats.org/officeDocument/2006/relationships/hyperlink" Target="https://www.xiaohongshu.com/discovery/item/6a3a8bba000000000d00bc00?source=webshare&amp;xhsshare=pc_web&amp;xsec_token=ABsZWIhoc01cLCDkTmH_0ySEejhGak0UPj-y0it6p_Cy0=&amp;xsec_source=pc_shar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iktok.com/@tracesofcal/video/7655485432431512850?_r=1&amp;_t=ZS-96utzO0kKhA" TargetMode="External"/><Relationship Id="rId21" Type="http://schemas.openxmlformats.org/officeDocument/2006/relationships/hyperlink" Target="https://www.instagram.com/jackievistosa/" TargetMode="External"/><Relationship Id="rId42" Type="http://schemas.openxmlformats.org/officeDocument/2006/relationships/hyperlink" Target="https://www.instagram.com/_suulaeyee_?utm_source=qr" TargetMode="External"/><Relationship Id="rId47" Type="http://schemas.openxmlformats.org/officeDocument/2006/relationships/hyperlink" Target="https://www.instagram.com/lim_lucie/" TargetMode="External"/><Relationship Id="rId63" Type="http://schemas.openxmlformats.org/officeDocument/2006/relationships/hyperlink" Target="https://www.tiktok.com/@rayaneroxy/video/7652740782583074068" TargetMode="External"/><Relationship Id="rId68" Type="http://schemas.openxmlformats.org/officeDocument/2006/relationships/hyperlink" Target="https://www.instagram.com/reel/DZR4ZLgPFAf/?igsh=MWJ3MHpjMzRmdzZ2bQ==" TargetMode="External"/><Relationship Id="rId84" Type="http://schemas.openxmlformats.org/officeDocument/2006/relationships/hyperlink" Target="https://vt.tiktok.com/ZSQnbXTtr/" TargetMode="External"/><Relationship Id="rId89" Type="http://schemas.openxmlformats.org/officeDocument/2006/relationships/hyperlink" Target="https://www.instagram.com/reel/DaCS_wgBT4_/" TargetMode="External"/><Relationship Id="rId16" Type="http://schemas.openxmlformats.org/officeDocument/2006/relationships/hyperlink" Target="https://www.tiktok.com/@wondralice?_r=1&amp;_t=ZS-96p1y8OVIma" TargetMode="External"/><Relationship Id="rId11" Type="http://schemas.openxmlformats.org/officeDocument/2006/relationships/hyperlink" Target="https://www.instagram.com/reel/DZcNs6mPhVg/" TargetMode="External"/><Relationship Id="rId32" Type="http://schemas.openxmlformats.org/officeDocument/2006/relationships/hyperlink" Target="https://www.tiktok.com/@alexa.kkh?_r=1&amp;_t=ZS-96onPDfAsBb" TargetMode="External"/><Relationship Id="rId37" Type="http://schemas.openxmlformats.org/officeDocument/2006/relationships/hyperlink" Target="https://www.tiktok.com/@jabu_sopete/video/7654168173125700872?_r=1&amp;_t=ZS-96rjs45Vph7" TargetMode="External"/><Relationship Id="rId53" Type="http://schemas.openxmlformats.org/officeDocument/2006/relationships/hyperlink" Target="https://www.tiktok.com/@miawrla/video/7647547552950242567?_r=1&amp;_t=ZS-970gNWvAZQw" TargetMode="External"/><Relationship Id="rId58" Type="http://schemas.openxmlformats.org/officeDocument/2006/relationships/hyperlink" Target="https://www.tiktok.com/@katty_korea_?_r=1&amp;_t=ZS-96pqENzTdSb" TargetMode="External"/><Relationship Id="rId74" Type="http://schemas.openxmlformats.org/officeDocument/2006/relationships/hyperlink" Target="https://www.tiktok.com/@lolahouques/video/7651206584441343265?_r=1&amp;_t=ZN-96pFAlBji46" TargetMode="External"/><Relationship Id="rId79" Type="http://schemas.openxmlformats.org/officeDocument/2006/relationships/hyperlink" Target="https://www.instagram.com/reel/DZb5HfWRHv9/" TargetMode="External"/><Relationship Id="rId5" Type="http://schemas.openxmlformats.org/officeDocument/2006/relationships/hyperlink" Target="https://www.tiktok.com/@titha.monika?_r=1&amp;_t=ZS-96s1PTRdBc9" TargetMode="External"/><Relationship Id="rId90" Type="http://schemas.openxmlformats.org/officeDocument/2006/relationships/hyperlink" Target="https://www.instagram.com/lesyeoux?igsh=b3pqZ2NsZTN1Y2U5&amp;utm_source=qr" TargetMode="External"/><Relationship Id="rId95" Type="http://schemas.openxmlformats.org/officeDocument/2006/relationships/table" Target="../tables/table7.xml"/><Relationship Id="rId22" Type="http://schemas.openxmlformats.org/officeDocument/2006/relationships/hyperlink" Target="https://www.tiktok.com/@jackiesanjose/video/7652338575047937310" TargetMode="External"/><Relationship Id="rId27" Type="http://schemas.openxmlformats.org/officeDocument/2006/relationships/hyperlink" Target="https://www.instagram.com/reel/DaBy1BXSitu/" TargetMode="External"/><Relationship Id="rId43" Type="http://schemas.openxmlformats.org/officeDocument/2006/relationships/hyperlink" Target="https://vt.tiktok.com/ZSCPg1Ev6/" TargetMode="External"/><Relationship Id="rId48" Type="http://schemas.openxmlformats.org/officeDocument/2006/relationships/hyperlink" Target="https://www.instagram.com/reel/DZtKiXXzrOa/" TargetMode="External"/><Relationship Id="rId64" Type="http://schemas.openxmlformats.org/officeDocument/2006/relationships/hyperlink" Target="https://www.instagram.com/reel/DZupT-vv_bQ/" TargetMode="External"/><Relationship Id="rId69" Type="http://schemas.openxmlformats.org/officeDocument/2006/relationships/hyperlink" Target="https://www.tiktok.com/@milkyyvenus?_r=1&amp;_t=ZN-93FmVmbMzeI" TargetMode="External"/><Relationship Id="rId80" Type="http://schemas.openxmlformats.org/officeDocument/2006/relationships/hyperlink" Target="https://www.instagram.com/luna_pro_beauty/" TargetMode="External"/><Relationship Id="rId85" Type="http://schemas.openxmlformats.org/officeDocument/2006/relationships/hyperlink" Target="https://www.instagram.com/reel/DZutfvXT07d/?igsh=N3Z5NWJ3YXZudjlt" TargetMode="External"/><Relationship Id="rId3" Type="http://schemas.openxmlformats.org/officeDocument/2006/relationships/hyperlink" Target="https://www.tiktok.com/@saminamina_07/video/7649655873974881554?_r=1&amp;_t=ZS-96uxa9N5u24" TargetMode="External"/><Relationship Id="rId12" Type="http://schemas.openxmlformats.org/officeDocument/2006/relationships/hyperlink" Target="https://www.tiktok.com/@erica.scoro?_r=1&amp;_t=ZS-96rqAsToYpV" TargetMode="External"/><Relationship Id="rId17" Type="http://schemas.openxmlformats.org/officeDocument/2006/relationships/hyperlink" Target="https://www.instagram.com/wondralice?igsh=eTMybmIxbm45cDl3&amp;utm_source=qr" TargetMode="External"/><Relationship Id="rId25" Type="http://schemas.openxmlformats.org/officeDocument/2006/relationships/hyperlink" Target="https://www.instagram.com/callista_chrysilla?utm_source=qr" TargetMode="External"/><Relationship Id="rId33" Type="http://schemas.openxmlformats.org/officeDocument/2006/relationships/hyperlink" Target="https://www.instagram.com/alexandra__kh?igsh=MXJ4dG4wdzNwZTEzMw%3D%3D&amp;utm_source=qr" TargetMode="External"/><Relationship Id="rId38" Type="http://schemas.openxmlformats.org/officeDocument/2006/relationships/hyperlink" Target="https://www.instagram.com/reel/DZ4mrvyzj03/" TargetMode="External"/><Relationship Id="rId46" Type="http://schemas.openxmlformats.org/officeDocument/2006/relationships/hyperlink" Target="https://www.instagram.com/reel/DZmsOSWpDyk/" TargetMode="External"/><Relationship Id="rId59" Type="http://schemas.openxmlformats.org/officeDocument/2006/relationships/hyperlink" Target="https://www.instagram.com/katty_korea_?igsh=bHpkZ2JtZ253cDdj&amp;utm_source=qr" TargetMode="External"/><Relationship Id="rId67" Type="http://schemas.openxmlformats.org/officeDocument/2006/relationships/hyperlink" Target="https://vt.tiktok.com/ZSQ2VEnTc/" TargetMode="External"/><Relationship Id="rId20" Type="http://schemas.openxmlformats.org/officeDocument/2006/relationships/hyperlink" Target="https://www.tiktok.com/@jackiesanjose" TargetMode="External"/><Relationship Id="rId41" Type="http://schemas.openxmlformats.org/officeDocument/2006/relationships/hyperlink" Target="https://www.tiktok.com/@suulysly?_r=1&amp;_t=ZS-96rpMVN5bjp" TargetMode="External"/><Relationship Id="rId54" Type="http://schemas.openxmlformats.org/officeDocument/2006/relationships/hyperlink" Target="https://www.instagram.com/reel/DZKtUpByqor/?igsh=OHhtb2U2YnpyaHFv" TargetMode="External"/><Relationship Id="rId62" Type="http://schemas.openxmlformats.org/officeDocument/2006/relationships/hyperlink" Target="https://www.instagram.com/rayaneroxy" TargetMode="External"/><Relationship Id="rId70" Type="http://schemas.openxmlformats.org/officeDocument/2006/relationships/hyperlink" Target="https://instagram.com/milkyvenus" TargetMode="External"/><Relationship Id="rId75" Type="http://schemas.openxmlformats.org/officeDocument/2006/relationships/hyperlink" Target="https://www.instagram.com/reel/DZkFw_uSc-r/?igsh=MTd2OTRzam9vNGRzZw==" TargetMode="External"/><Relationship Id="rId83" Type="http://schemas.openxmlformats.org/officeDocument/2006/relationships/hyperlink" Target="https://www.instagram.com/reshmakunwarchhetri?utm_source=qr" TargetMode="External"/><Relationship Id="rId88" Type="http://schemas.openxmlformats.org/officeDocument/2006/relationships/hyperlink" Target="https://www.tiktok.com/@maansimadetales/video/7655559517853469973?_r=1&amp;_t=ZS-96s60OxhnrY" TargetMode="External"/><Relationship Id="rId91" Type="http://schemas.openxmlformats.org/officeDocument/2006/relationships/hyperlink" Target="https://vt.tiktok.com/ZSCPe8BRA/" TargetMode="External"/><Relationship Id="rId96" Type="http://schemas.openxmlformats.org/officeDocument/2006/relationships/table" Target="../tables/table8.xml"/><Relationship Id="rId1" Type="http://schemas.openxmlformats.org/officeDocument/2006/relationships/hyperlink" Target="https://www.tiktok.com/@saminamina_07?_r=1&amp;_t=ZS-96uxa9N5u24" TargetMode="External"/><Relationship Id="rId6" Type="http://schemas.openxmlformats.org/officeDocument/2006/relationships/hyperlink" Target="https://www.instagram.com/tithamonika?igsh=MXptcXJoYTlidHl3&amp;utm_source=qr" TargetMode="External"/><Relationship Id="rId15" Type="http://schemas.openxmlformats.org/officeDocument/2006/relationships/hyperlink" Target="https://www.instagram.com/reel/DZrfC_HT_M7/" TargetMode="External"/><Relationship Id="rId23" Type="http://schemas.openxmlformats.org/officeDocument/2006/relationships/hyperlink" Target="https://www.instagram.com/reel/DZr8dF9TmHf/" TargetMode="External"/><Relationship Id="rId28" Type="http://schemas.openxmlformats.org/officeDocument/2006/relationships/hyperlink" Target="https://www.tiktok.com/@springlythings" TargetMode="External"/><Relationship Id="rId36" Type="http://schemas.openxmlformats.org/officeDocument/2006/relationships/hyperlink" Target="https://www.instagram.com/jabu_sopete?igsh=YnJoNnhlMmFndnAw&amp;utm_source=qr" TargetMode="External"/><Relationship Id="rId49" Type="http://schemas.openxmlformats.org/officeDocument/2006/relationships/hyperlink" Target="https://www.instagram.com/aurora.seoul/" TargetMode="External"/><Relationship Id="rId57" Type="http://schemas.openxmlformats.org/officeDocument/2006/relationships/hyperlink" Target="https://www.instagram.com/reel/DZaZG-AJOLy/" TargetMode="External"/><Relationship Id="rId10" Type="http://schemas.openxmlformats.org/officeDocument/2006/relationships/hyperlink" Target="https://www.tiktok.com/@itsmyseoullife/video/7650069357443157268?_r=1&amp;_t=ZS-9503VuDaPmX" TargetMode="External"/><Relationship Id="rId31" Type="http://schemas.openxmlformats.org/officeDocument/2006/relationships/hyperlink" Target="https://www.instagram.com/reel/DaQFuJwSOiO/?igsh=MTA1eTZzdTByNmkyeA==" TargetMode="External"/><Relationship Id="rId44" Type="http://schemas.openxmlformats.org/officeDocument/2006/relationships/hyperlink" Target="https://www.tiktok.com/@milarevee" TargetMode="External"/><Relationship Id="rId52" Type="http://schemas.openxmlformats.org/officeDocument/2006/relationships/hyperlink" Target="https://www.instagram.com/miawrla" TargetMode="External"/><Relationship Id="rId60" Type="http://schemas.openxmlformats.org/officeDocument/2006/relationships/hyperlink" Target="https://www.instagram.com/reel/DZbvvvizND-/" TargetMode="External"/><Relationship Id="rId65" Type="http://schemas.openxmlformats.org/officeDocument/2006/relationships/hyperlink" Target="https://www.tiktok.com/@virginiasvoyage" TargetMode="External"/><Relationship Id="rId73" Type="http://schemas.openxmlformats.org/officeDocument/2006/relationships/hyperlink" Target="https://www.instagram.com/lolahouques?igsh=MWsxN2JpcHliYjh0bQ==" TargetMode="External"/><Relationship Id="rId78" Type="http://schemas.openxmlformats.org/officeDocument/2006/relationships/hyperlink" Target="https://www.tiktok.com/@its.lili.cious/video/7650033267659312404" TargetMode="External"/><Relationship Id="rId81" Type="http://schemas.openxmlformats.org/officeDocument/2006/relationships/hyperlink" Target="https://www.instagram.com/reel/DZq4WfcTJp-/" TargetMode="External"/><Relationship Id="rId86" Type="http://schemas.openxmlformats.org/officeDocument/2006/relationships/hyperlink" Target="https://www.tiktok.com/@maansimadetales?_r=1&amp;_t=ZS-96s60OxhnrY" TargetMode="External"/><Relationship Id="rId94" Type="http://schemas.openxmlformats.org/officeDocument/2006/relationships/table" Target="../tables/table6.xml"/><Relationship Id="rId99" Type="http://schemas.openxmlformats.org/officeDocument/2006/relationships/table" Target="../tables/table11.xml"/><Relationship Id="rId4" Type="http://schemas.openxmlformats.org/officeDocument/2006/relationships/hyperlink" Target="https://www.instagram.com/reel/DZZU5gmxw77/" TargetMode="External"/><Relationship Id="rId9" Type="http://schemas.openxmlformats.org/officeDocument/2006/relationships/hyperlink" Target="https://www.instagram.com/myseoullife.yt/" TargetMode="External"/><Relationship Id="rId13" Type="http://schemas.openxmlformats.org/officeDocument/2006/relationships/hyperlink" Target="https://www.instagram.com/erica.scoro?igsh=a280MjlwOHB0ZzF1&amp;utm_source=qr" TargetMode="External"/><Relationship Id="rId18" Type="http://schemas.openxmlformats.org/officeDocument/2006/relationships/hyperlink" Target="https://www.tiktok.com/@wondralice/video/7650894454072757524?_r=1&amp;_t=ZS-96p1y8OVIma" TargetMode="External"/><Relationship Id="rId39" Type="http://schemas.openxmlformats.org/officeDocument/2006/relationships/hyperlink" Target="https://www.tiktok.com/@katewilczynska_/" TargetMode="External"/><Relationship Id="rId34" Type="http://schemas.openxmlformats.org/officeDocument/2006/relationships/hyperlink" Target="https://www.tiktok.com/@alexa.kkh/video/7651498792612662546?_r=1&amp;_t=ZS-96onPDfAsBb" TargetMode="External"/><Relationship Id="rId50" Type="http://schemas.openxmlformats.org/officeDocument/2006/relationships/hyperlink" Target="https://www.instagram.com/reel/DaDVMT_qIWB/" TargetMode="External"/><Relationship Id="rId55" Type="http://schemas.openxmlformats.org/officeDocument/2006/relationships/hyperlink" Target="https://www.instagram.com/pragyaaaannnn?igsh=cm9oazRzejQzcGU2&amp;utm_source=qr" TargetMode="External"/><Relationship Id="rId76" Type="http://schemas.openxmlformats.org/officeDocument/2006/relationships/hyperlink" Target="https://www.tiktok.com/@its.lili.cious/" TargetMode="External"/><Relationship Id="rId97" Type="http://schemas.openxmlformats.org/officeDocument/2006/relationships/table" Target="../tables/table9.xml"/><Relationship Id="rId7" Type="http://schemas.openxmlformats.org/officeDocument/2006/relationships/hyperlink" Target="https://www.instagram.com/reel/DZdwA7gPpdo/" TargetMode="External"/><Relationship Id="rId71" Type="http://schemas.openxmlformats.org/officeDocument/2006/relationships/hyperlink" Target="https://vt.tiktok.com/ZNRvh7tp1/" TargetMode="External"/><Relationship Id="rId92" Type="http://schemas.openxmlformats.org/officeDocument/2006/relationships/table" Target="../tables/table4.xml"/><Relationship Id="rId2" Type="http://schemas.openxmlformats.org/officeDocument/2006/relationships/hyperlink" Target="https://www.instagram.com/samina_the_mina?igsh=MWhwMmU2MXhuY2NtZw%3D%3D&amp;utm_source=qr" TargetMode="External"/><Relationship Id="rId29" Type="http://schemas.openxmlformats.org/officeDocument/2006/relationships/hyperlink" Target="https://instagram.com/ellisachen" TargetMode="External"/><Relationship Id="rId24" Type="http://schemas.openxmlformats.org/officeDocument/2006/relationships/hyperlink" Target="https://www.tiktok.com/@tracesofcal?_r=1&amp;_t=ZS-96utzO0kKhA" TargetMode="External"/><Relationship Id="rId40" Type="http://schemas.openxmlformats.org/officeDocument/2006/relationships/hyperlink" Target="https://www.instagram.com/kate_wilczynska_/" TargetMode="External"/><Relationship Id="rId45" Type="http://schemas.openxmlformats.org/officeDocument/2006/relationships/hyperlink" Target="https://www.instagram.com/mei.meima/" TargetMode="External"/><Relationship Id="rId66" Type="http://schemas.openxmlformats.org/officeDocument/2006/relationships/hyperlink" Target="https://www.instagram.com/virginiasvoyage" TargetMode="External"/><Relationship Id="rId87" Type="http://schemas.openxmlformats.org/officeDocument/2006/relationships/hyperlink" Target="https://www.instagram.com/browngirlsings?igsh=MmJ3b3JqZm9ncDJp" TargetMode="External"/><Relationship Id="rId61" Type="http://schemas.openxmlformats.org/officeDocument/2006/relationships/hyperlink" Target="https://www.tiktok.com/@rayaneroxy" TargetMode="External"/><Relationship Id="rId82" Type="http://schemas.openxmlformats.org/officeDocument/2006/relationships/hyperlink" Target="https://www.tiktok.com/@babyglamgirl0?_r=1&amp;_t=ZS-91uPYc6Hcck" TargetMode="External"/><Relationship Id="rId19" Type="http://schemas.openxmlformats.org/officeDocument/2006/relationships/hyperlink" Target="https://www.instagram.com/reel/DZtmB9LNaq_/" TargetMode="External"/><Relationship Id="rId14" Type="http://schemas.openxmlformats.org/officeDocument/2006/relationships/hyperlink" Target="https://www.tiktok.com/@erica.scoro/video/7654023475627052309?_r=1&amp;_t=ZS-96rqAsToYpV" TargetMode="External"/><Relationship Id="rId30" Type="http://schemas.openxmlformats.org/officeDocument/2006/relationships/hyperlink" Target="https://vt.tiktok.com/ZSC7U79K5/" TargetMode="External"/><Relationship Id="rId35" Type="http://schemas.openxmlformats.org/officeDocument/2006/relationships/hyperlink" Target="https://www.tiktok.com/@jabu_sopete?_r=1&amp;_t=ZS-96rjs45Vph7" TargetMode="External"/><Relationship Id="rId56" Type="http://schemas.openxmlformats.org/officeDocument/2006/relationships/hyperlink" Target="https://www.tiktok.com/@manusmitapatro/video/7649813647274806546?_r=1&amp;_t=ZS-96rgi3Aa0ON" TargetMode="External"/><Relationship Id="rId77" Type="http://schemas.openxmlformats.org/officeDocument/2006/relationships/hyperlink" Target="https://www.instagram.com/its.lili.cious/" TargetMode="External"/><Relationship Id="rId100" Type="http://schemas.openxmlformats.org/officeDocument/2006/relationships/table" Target="../tables/table12.xml"/><Relationship Id="rId8" Type="http://schemas.openxmlformats.org/officeDocument/2006/relationships/hyperlink" Target="https://www.tiktok.com/@itsmyseoullife?_r=1&amp;_t=ZS-9503VuDaPmX" TargetMode="External"/><Relationship Id="rId51" Type="http://schemas.openxmlformats.org/officeDocument/2006/relationships/hyperlink" Target="https://www.tiktok.com/@miawrla" TargetMode="External"/><Relationship Id="rId72" Type="http://schemas.openxmlformats.org/officeDocument/2006/relationships/hyperlink" Target="https://www.tiktok.com/@lolahouques?_r=1&amp;_t=ZN-96pFAlBji46" TargetMode="External"/><Relationship Id="rId93" Type="http://schemas.openxmlformats.org/officeDocument/2006/relationships/table" Target="../tables/table5.xml"/><Relationship Id="rId98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xiaohongshu.com/user/profile/572ec23c50c4b45db2970191?xhsshare=CopyLink&amp;appuid=5ea8e6570000000001001552&amp;apptime=1665814878" TargetMode="External"/><Relationship Id="rId21" Type="http://schemas.openxmlformats.org/officeDocument/2006/relationships/hyperlink" Target="http://dpurl.cn/rIcU6e3z" TargetMode="External"/><Relationship Id="rId42" Type="http://schemas.openxmlformats.org/officeDocument/2006/relationships/hyperlink" Target="http://xhslink.com/o/44wLd3tevGe" TargetMode="External"/><Relationship Id="rId47" Type="http://schemas.openxmlformats.org/officeDocument/2006/relationships/hyperlink" Target="https://www.xiaohongshu.com/discovery/item/6a450f9a0000000007013f5c?source=webshare&amp;xhsshare=pc_web&amp;xsec_token=ABItGSFS19JrZoGmgN2bp07u4wBVR1qc2JCpwv5TDeycg=&amp;xsec_source=pc_share" TargetMode="External"/><Relationship Id="rId63" Type="http://schemas.openxmlformats.org/officeDocument/2006/relationships/hyperlink" Target="https://www.xiaohongshu.com/user/profile/591534dd82ec3915d651359a" TargetMode="External"/><Relationship Id="rId68" Type="http://schemas.openxmlformats.org/officeDocument/2006/relationships/hyperlink" Target="https://www.xiaohongshu.com/discovery/item/6a431f47000000001503e1af?source=webshare&amp;xhsshare=pc_web&amp;xsec_token=ABvJ7CZxFOEXlNF7Ima6jgXDWLE0hrqZow4YYBruxTahs=&amp;xsec_source=pc_share" TargetMode="External"/><Relationship Id="rId2" Type="http://schemas.openxmlformats.org/officeDocument/2006/relationships/hyperlink" Target="http://xhslink.com/o/1PMSLXJ4uOK" TargetMode="External"/><Relationship Id="rId16" Type="http://schemas.openxmlformats.org/officeDocument/2006/relationships/hyperlink" Target="https://www.xiaohongshu.com/user/profile/64a3e77d000000000b017abd" TargetMode="External"/><Relationship Id="rId29" Type="http://schemas.openxmlformats.org/officeDocument/2006/relationships/hyperlink" Target="https://m.dianping.com/feeddetail/3314527325?sceneType=1&amp;bizType=1&amp;utm_source=ugcshare&amp;msource=Appshare2021&amp;utm_medium=h5&amp;shareid=tM4YkLk8LF_1784037921" TargetMode="External"/><Relationship Id="rId11" Type="http://schemas.openxmlformats.org/officeDocument/2006/relationships/hyperlink" Target="http://xhslink.com/o/7mL1NSWyWzE" TargetMode="External"/><Relationship Id="rId24" Type="http://schemas.openxmlformats.org/officeDocument/2006/relationships/hyperlink" Target="https://www.xiaohongshu.com/user/profile/609e2c53000000000101e240?xhsshare=CopyLink&amp;appuid=5dfca3bf0000000001001ac1&amp;apptime=1719396234" TargetMode="External"/><Relationship Id="rId32" Type="http://schemas.openxmlformats.org/officeDocument/2006/relationships/hyperlink" Target="https://www.xiaohongshu.com/discovery/item/6a44ef4b0000000015026ba9?source=webshare&amp;xhsshare=pc_web&amp;xsec_token=CB5bxGdqd35-rvFa24Tzc9Bqrss7BJgxUnuKxY3RKBn6Y=&amp;xsec_source=pc_share" TargetMode="External"/><Relationship Id="rId37" Type="http://schemas.openxmlformats.org/officeDocument/2006/relationships/hyperlink" Target="https://www.xiaohongshu.com/user/profile/604b63a300000000010035c6" TargetMode="External"/><Relationship Id="rId40" Type="http://schemas.openxmlformats.org/officeDocument/2006/relationships/hyperlink" Target="http://xhslink.com/o/zZ1MnATaov" TargetMode="External"/><Relationship Id="rId45" Type="http://schemas.openxmlformats.org/officeDocument/2006/relationships/hyperlink" Target="https://m.dianping.com/feeddetail/3325961081?sceneType=1&amp;bizType=1&amp;utm_source=ugcshare&amp;msource=Appshare2021&amp;utm_medium=h5&amp;shareid=X4M6wxUF3e_1782961181" TargetMode="External"/><Relationship Id="rId53" Type="http://schemas.openxmlformats.org/officeDocument/2006/relationships/hyperlink" Target="https://xhslink.com/m/7eqGwSLQhI8" TargetMode="External"/><Relationship Id="rId58" Type="http://schemas.openxmlformats.org/officeDocument/2006/relationships/hyperlink" Target="http://xhslink.com/o/OckM64hmLX" TargetMode="External"/><Relationship Id="rId66" Type="http://schemas.openxmlformats.org/officeDocument/2006/relationships/hyperlink" Target="https://xhslink.com/m/882h89xosWC" TargetMode="External"/><Relationship Id="rId74" Type="http://schemas.openxmlformats.org/officeDocument/2006/relationships/table" Target="../tables/table18.xml"/><Relationship Id="rId5" Type="http://schemas.openxmlformats.org/officeDocument/2006/relationships/hyperlink" Target="https://www.xiaohongshu.com/user/profile/68bd11f600000000190126e4" TargetMode="External"/><Relationship Id="rId61" Type="http://schemas.openxmlformats.org/officeDocument/2006/relationships/hyperlink" Target="https://www.xiaohongshu.com/user/profile/5ad5b2944eacab4fde71fe62?xsec_token=YB5ybIPMhTkEUqVTvIt6fe-rjiuo8FMfkNTFp1vdF3EOs=&amp;xsec_source=app_share&amp;xhsshare=CopyLink&amp;appuid=5ad5b2944eacab4fde71fe62&amp;apptime=1738696034&amp;share_id=82df6490883c4f07b51ffb17f95ab139" TargetMode="External"/><Relationship Id="rId19" Type="http://schemas.openxmlformats.org/officeDocument/2006/relationships/hyperlink" Target="https://www.xiaohongshu.com/user/profile/695f150100000000030117b2" TargetMode="External"/><Relationship Id="rId14" Type="http://schemas.openxmlformats.org/officeDocument/2006/relationships/hyperlink" Target="https://www.xiaohongshu.com/user/profile/636f968c0000000023025ea5" TargetMode="External"/><Relationship Id="rId22" Type="http://schemas.openxmlformats.org/officeDocument/2006/relationships/hyperlink" Target="https://www.xiaohongshu.com/user/profile/6843a7f40000000008038c14" TargetMode="External"/><Relationship Id="rId27" Type="http://schemas.openxmlformats.org/officeDocument/2006/relationships/hyperlink" Target="https://www.xiaohongshu.com/discovery/item/6a45c020000000001101c0dd?source=webshare&amp;xhsshare=pc_web&amp;xsec_token=CBgEK-PEIs2cTbXBNLLfcb9lJN_ej64cTU41bEeHRC5js=&amp;xsec_source=pc_share" TargetMode="External"/><Relationship Id="rId30" Type="http://schemas.openxmlformats.org/officeDocument/2006/relationships/hyperlink" Target="http://xhslink.com/o/3YGAVIkgHMd" TargetMode="External"/><Relationship Id="rId35" Type="http://schemas.openxmlformats.org/officeDocument/2006/relationships/hyperlink" Target="https://www.xiaohongshu.com/user/profile/577b0bfb5e87e711132f0a3d" TargetMode="External"/><Relationship Id="rId43" Type="http://schemas.openxmlformats.org/officeDocument/2006/relationships/hyperlink" Target="https://xhslink.com/m/7ZHaymonyw0" TargetMode="External"/><Relationship Id="rId48" Type="http://schemas.openxmlformats.org/officeDocument/2006/relationships/hyperlink" Target="https://m.dianping.com/feeddetail/3347272064?sceneType=1&amp;bizType=1&amp;utm_source=ugcshare&amp;msource=Appshare2021&amp;utm_medium=h5&amp;shareid=QczJBetvpM_1784092649" TargetMode="External"/><Relationship Id="rId56" Type="http://schemas.openxmlformats.org/officeDocument/2006/relationships/hyperlink" Target="http://xhslink.com/o/A9sNybCvfN5" TargetMode="External"/><Relationship Id="rId64" Type="http://schemas.openxmlformats.org/officeDocument/2006/relationships/hyperlink" Target="https://www.xiaohongshu.com/discovery/item/6a3e7471000000000702dac6?source=webshare&amp;xhsshare=pc_web&amp;xsec_token=AByLL4GrsBVShN1z5xG53z9XqrecaFKEISAnET8yF8JYk=&amp;xsec_source=pc_share" TargetMode="External"/><Relationship Id="rId69" Type="http://schemas.openxmlformats.org/officeDocument/2006/relationships/table" Target="../tables/table13.xml"/><Relationship Id="rId8" Type="http://schemas.openxmlformats.org/officeDocument/2006/relationships/hyperlink" Target="https://www.xiaohongshu.com/user/profile/680a781e000000000d00b994" TargetMode="External"/><Relationship Id="rId51" Type="http://schemas.openxmlformats.org/officeDocument/2006/relationships/hyperlink" Target="https://www.xiaohongshu.com/user/profile/638b5785000000002400816a" TargetMode="External"/><Relationship Id="rId72" Type="http://schemas.openxmlformats.org/officeDocument/2006/relationships/table" Target="../tables/table16.xml"/><Relationship Id="rId3" Type="http://schemas.openxmlformats.org/officeDocument/2006/relationships/hyperlink" Target="https://www.xiaohongshu.com/user/profile/5ae95bfc11be1055eda62869" TargetMode="External"/><Relationship Id="rId12" Type="http://schemas.openxmlformats.org/officeDocument/2006/relationships/hyperlink" Target="https://www.xiaohongshu.com/user/profile/6347c12d000000001802d64f" TargetMode="External"/><Relationship Id="rId17" Type="http://schemas.openxmlformats.org/officeDocument/2006/relationships/hyperlink" Target="https://www.xiaohongshu.com/discovery/item/6a435c30000000002103d02c?source=webshare&amp;xhsshare=pc_web&amp;xsec_token=CBOTY6_VUBvZEuGQM-g1Xv_AY8JscFO_rvxkJ00YKdu1o=&amp;xsec_source=pc_share" TargetMode="External"/><Relationship Id="rId25" Type="http://schemas.openxmlformats.org/officeDocument/2006/relationships/hyperlink" Target="http://xhslink.com/o/4aY9xA4yS81" TargetMode="External"/><Relationship Id="rId33" Type="http://schemas.openxmlformats.org/officeDocument/2006/relationships/hyperlink" Target="https://www.xiaohongshu.com/user/profile/59b2c63d5e87e7386e54934b" TargetMode="External"/><Relationship Id="rId38" Type="http://schemas.openxmlformats.org/officeDocument/2006/relationships/hyperlink" Target="http://xhslink.com/o/9UB54z4zUAj" TargetMode="External"/><Relationship Id="rId46" Type="http://schemas.openxmlformats.org/officeDocument/2006/relationships/hyperlink" Target="https://www.xiaohongshu.com/user/profile/67176f15000000001d023073" TargetMode="External"/><Relationship Id="rId59" Type="http://schemas.openxmlformats.org/officeDocument/2006/relationships/hyperlink" Target="https://xhslink.com/m/5VXb7wQSLTL" TargetMode="External"/><Relationship Id="rId67" Type="http://schemas.openxmlformats.org/officeDocument/2006/relationships/hyperlink" Target="http://xhslink.com/o/3NXikts7gBY" TargetMode="External"/><Relationship Id="rId20" Type="http://schemas.openxmlformats.org/officeDocument/2006/relationships/hyperlink" Target="http://xhslink.com/o/9YAE2toWljO" TargetMode="External"/><Relationship Id="rId41" Type="http://schemas.openxmlformats.org/officeDocument/2006/relationships/hyperlink" Target="https://www.xiaohongshu.com/user/profile/5d4ea8360000000010011794" TargetMode="External"/><Relationship Id="rId54" Type="http://schemas.openxmlformats.org/officeDocument/2006/relationships/hyperlink" Target="http://xhslink.com/o/BB6uMJMHgj" TargetMode="External"/><Relationship Id="rId62" Type="http://schemas.openxmlformats.org/officeDocument/2006/relationships/hyperlink" Target="http://xhslink.com/o/25lD1QvvnYM" TargetMode="External"/><Relationship Id="rId70" Type="http://schemas.openxmlformats.org/officeDocument/2006/relationships/table" Target="../tables/table14.xml"/><Relationship Id="rId75" Type="http://schemas.openxmlformats.org/officeDocument/2006/relationships/table" Target="../tables/table19.xml"/><Relationship Id="rId1" Type="http://schemas.openxmlformats.org/officeDocument/2006/relationships/hyperlink" Target="https://www.xiaohongshu.com/user/profile/5e1d8bb80000000001009999" TargetMode="External"/><Relationship Id="rId6" Type="http://schemas.openxmlformats.org/officeDocument/2006/relationships/hyperlink" Target="https://www.xiaohongshu.com/discovery/item/6a431f47000000001503e1af?source=webshare&amp;xhsshare=pc_web&amp;xsec_token=ABvJ7CZxFOEXlNF7Ima6jgXDWLE0hrqZow4YYBruxTahs=&amp;xsec_source=pc_share" TargetMode="External"/><Relationship Id="rId15" Type="http://schemas.openxmlformats.org/officeDocument/2006/relationships/hyperlink" Target="http://xhslink.com/o/28j8WT93DOf" TargetMode="External"/><Relationship Id="rId23" Type="http://schemas.openxmlformats.org/officeDocument/2006/relationships/hyperlink" Target="http://xhslink.com/o/AJwU2e7NAIi" TargetMode="External"/><Relationship Id="rId28" Type="http://schemas.openxmlformats.org/officeDocument/2006/relationships/hyperlink" Target="https://www.xiaohongshu.com/discovery/item/6a3a8bba000000000d00bc00?source=webshare&amp;xhsshare=pc_web&amp;xsec_token=ABsZWIhoc01cLCDkTmH_0ySEejhGak0UPj-y0it6p_Cy0=&amp;xsec_source=pc_share" TargetMode="External"/><Relationship Id="rId36" Type="http://schemas.openxmlformats.org/officeDocument/2006/relationships/hyperlink" Target="https://www.xiaohongshu.com/discovery/item/6a3f9d700000000021022c35?source=webshare&amp;xhsshare=pc_web&amp;xsec_token=ABxCfwww6dPYKfVLdSWGVP9n89XOW4VKm0Gg6yAzvn4iM=&amp;xsec_source=pc_share" TargetMode="External"/><Relationship Id="rId49" Type="http://schemas.openxmlformats.org/officeDocument/2006/relationships/hyperlink" Target="https://www.xiaohongshu.com/user/profile/5c52f966000000001801f2b1" TargetMode="External"/><Relationship Id="rId57" Type="http://schemas.openxmlformats.org/officeDocument/2006/relationships/hyperlink" Target="https://www.xiaohongshu.com/user/profile/5dfca3bf0000000001001ac1?xhsshare=CopyLink&amp;appuid=5dfca3bf0000000001001ac1&amp;apptime=1719396082" TargetMode="External"/><Relationship Id="rId10" Type="http://schemas.openxmlformats.org/officeDocument/2006/relationships/hyperlink" Target="https://www.xiaohongshu.com/user/profile/65560b9600000000020347c1" TargetMode="External"/><Relationship Id="rId31" Type="http://schemas.openxmlformats.org/officeDocument/2006/relationships/hyperlink" Target="https://www.xiaohongshu.com/user/profile/604b63a300000000010035c6" TargetMode="External"/><Relationship Id="rId44" Type="http://schemas.openxmlformats.org/officeDocument/2006/relationships/hyperlink" Target="https://www.xiaohongshu.com/discovery/item/6a44ac050000000011016861?source=webshare&amp;xhsshare=pc_web&amp;xsec_token=CB9MTPYGrdHtqi_SeFPAsP_ukFm8Q3bGYXvesGBVs9A_Y=&amp;xsec_source=pc_share" TargetMode="External"/><Relationship Id="rId52" Type="http://schemas.openxmlformats.org/officeDocument/2006/relationships/hyperlink" Target="https://www.xiaohongshu.com/discovery/item/6a431cda0000000020038b07?source=webshare&amp;xhsshare=pc_web&amp;xsec_token=ABEaTzJ4Og5bbvKn_fVOKaLNoJd_qnJykLAouNGlCsVjY=&amp;xsec_source=pc_share" TargetMode="External"/><Relationship Id="rId60" Type="http://schemas.openxmlformats.org/officeDocument/2006/relationships/hyperlink" Target="https://www.xiaohongshu.com/discovery/item/6a47166a000000001702dbc1?source=webshare&amp;xhsshare=pc_web&amp;xsec_token=CBIen8vPpjVPaV96ku8RuMaFahNkuosqSj1JSOwDZES80=&amp;xsec_source=pc_share" TargetMode="External"/><Relationship Id="rId65" Type="http://schemas.openxmlformats.org/officeDocument/2006/relationships/hyperlink" Target="https://m.dianping.com/feeddetail/3337339444?sceneType=1&amp;bizType=1&amp;utm_source=ugcshare&amp;msource=Appshare2021&amp;utm_medium=h5&amp;shareid=UghwR4kVGM_1784091265" TargetMode="External"/><Relationship Id="rId73" Type="http://schemas.openxmlformats.org/officeDocument/2006/relationships/table" Target="../tables/table17.xml"/><Relationship Id="rId4" Type="http://schemas.openxmlformats.org/officeDocument/2006/relationships/hyperlink" Target="http://xhslink.com/o/9qkH1fw31yg" TargetMode="External"/><Relationship Id="rId9" Type="http://schemas.openxmlformats.org/officeDocument/2006/relationships/hyperlink" Target="https://m.dianping.com/feeddetail/3322833655?sceneType=1&amp;bizType=1&amp;utm_source=ugcshare&amp;msource=Appshare2021&amp;utm_medium=h5&amp;shareid=aD2iIHlgKd_1782783346" TargetMode="External"/><Relationship Id="rId13" Type="http://schemas.openxmlformats.org/officeDocument/2006/relationships/hyperlink" Target="http://xhslink.com/o/2nuAvGbRIzz" TargetMode="External"/><Relationship Id="rId18" Type="http://schemas.openxmlformats.org/officeDocument/2006/relationships/hyperlink" Target="https://m.dianping.com/feeddetail/3326605535?sceneType=0&amp;bizType=1&amp;utm_source=ugcshare&amp;msource=Appshare2021&amp;utm_medium=h5&amp;shareid=4GMCll95UY_1782979296969" TargetMode="External"/><Relationship Id="rId39" Type="http://schemas.openxmlformats.org/officeDocument/2006/relationships/hyperlink" Target="https://www.xiaohongshu.com/user/profile/618680b000000000100093b6" TargetMode="External"/><Relationship Id="rId34" Type="http://schemas.openxmlformats.org/officeDocument/2006/relationships/hyperlink" Target="http://xhslink.com/o/1e2csEWTl2f" TargetMode="External"/><Relationship Id="rId50" Type="http://schemas.openxmlformats.org/officeDocument/2006/relationships/hyperlink" Target="https://www.xiaohongshu.com/discovery/item/6a45d6f1000000000702c24a?source=webshare&amp;xhsshare=pc_web&amp;xsec_token=ABiG7uWoRrQU4rxb96MFcziBn1v5ZO8aq1oOHyux6PT5E=&amp;xsec_source=pc_share" TargetMode="External"/><Relationship Id="rId55" Type="http://schemas.openxmlformats.org/officeDocument/2006/relationships/hyperlink" Target="https://www.xiaohongshu.com/user/profile/67ff0cd0000000000d00bafb" TargetMode="External"/><Relationship Id="rId7" Type="http://schemas.openxmlformats.org/officeDocument/2006/relationships/hyperlink" Target="http://dpurl.cn/wKiI2n0z" TargetMode="External"/><Relationship Id="rId71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v.douyin.com/3FudedjtOJM/" TargetMode="External"/><Relationship Id="rId13" Type="http://schemas.openxmlformats.org/officeDocument/2006/relationships/hyperlink" Target="https://b23.tv/2EnVi2W" TargetMode="External"/><Relationship Id="rId3" Type="http://schemas.openxmlformats.org/officeDocument/2006/relationships/hyperlink" Target="https://www.instagram.com/reel/DanWmjJz66J/" TargetMode="External"/><Relationship Id="rId7" Type="http://schemas.openxmlformats.org/officeDocument/2006/relationships/hyperlink" Target="https://www.instagram.com/reel/Dacgk8qTS-n/" TargetMode="External"/><Relationship Id="rId12" Type="http://schemas.openxmlformats.org/officeDocument/2006/relationships/hyperlink" Target="https://xhslink.com/m/3jvwcn1hSjF" TargetMode="External"/><Relationship Id="rId2" Type="http://schemas.openxmlformats.org/officeDocument/2006/relationships/hyperlink" Target="https://www.tiktok.com/@pada_heli?_r=1&amp;_t=ZS-96qSehG7s3R" TargetMode="External"/><Relationship Id="rId1" Type="http://schemas.openxmlformats.org/officeDocument/2006/relationships/hyperlink" Target="https://www.instagram.com/pada_heli/" TargetMode="External"/><Relationship Id="rId6" Type="http://schemas.openxmlformats.org/officeDocument/2006/relationships/hyperlink" Target="https://www.tiktok.com/@youronlyjen/video/7659335224488168726" TargetMode="External"/><Relationship Id="rId11" Type="http://schemas.openxmlformats.org/officeDocument/2006/relationships/hyperlink" Target="https://weibo.com/u/5042468475" TargetMode="External"/><Relationship Id="rId5" Type="http://schemas.openxmlformats.org/officeDocument/2006/relationships/hyperlink" Target="https://www.tiktok.com/@youronlyjen" TargetMode="External"/><Relationship Id="rId10" Type="http://schemas.openxmlformats.org/officeDocument/2006/relationships/hyperlink" Target="https://v.douyin.com/oUmTXraGpH0/" TargetMode="External"/><Relationship Id="rId4" Type="http://schemas.openxmlformats.org/officeDocument/2006/relationships/hyperlink" Target="https://www.instagram.com/jenniferwohner/reels/" TargetMode="External"/><Relationship Id="rId9" Type="http://schemas.openxmlformats.org/officeDocument/2006/relationships/hyperlink" Target="https://v.douyin.com/yuA8YwBhnHU/" TargetMode="External"/><Relationship Id="rId14" Type="http://schemas.openxmlformats.org/officeDocument/2006/relationships/hyperlink" Target="https://xhslink.com/m/6frjyHTir2S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_1finesse_?igsh=MzE3d2Vnc2Rhd242&amp;utm_source=qr" TargetMode="External"/><Relationship Id="rId18" Type="http://schemas.openxmlformats.org/officeDocument/2006/relationships/hyperlink" Target="https://www.instagram.com/reel/DXMQf4Ekr52/?igsh=bzM0YTZzbmVidXI1" TargetMode="External"/><Relationship Id="rId26" Type="http://schemas.openxmlformats.org/officeDocument/2006/relationships/hyperlink" Target="https://www.instagram.com/chelsieyoo_/reels/" TargetMode="External"/><Relationship Id="rId39" Type="http://schemas.openxmlformats.org/officeDocument/2006/relationships/hyperlink" Target="https://www.instagram.com/reel/DYM7u-tI4qm/" TargetMode="External"/><Relationship Id="rId21" Type="http://schemas.openxmlformats.org/officeDocument/2006/relationships/hyperlink" Target="https://www.tiktok.com/@.joan__?_t=ZS-8wUeIBpusyX&amp;_r=1" TargetMode="External"/><Relationship Id="rId34" Type="http://schemas.openxmlformats.org/officeDocument/2006/relationships/hyperlink" Target="https://www.tiktok.com/@child_of_abraxas/video/7637172719280295189?_r=1&amp;_t=ZS-95uFnqNZwVJ" TargetMode="External"/><Relationship Id="rId42" Type="http://schemas.openxmlformats.org/officeDocument/2006/relationships/hyperlink" Target="https://vm.tiktok.com/ZNRGXeBwr/" TargetMode="External"/><Relationship Id="rId47" Type="http://schemas.openxmlformats.org/officeDocument/2006/relationships/hyperlink" Target="https://www.instagram.com/0.banana" TargetMode="External"/><Relationship Id="rId50" Type="http://schemas.openxmlformats.org/officeDocument/2006/relationships/table" Target="../tables/table20.xml"/><Relationship Id="rId7" Type="http://schemas.openxmlformats.org/officeDocument/2006/relationships/hyperlink" Target="https://www.instagram.com/anyaklyackaya?igsh=MXhtNDU5YzQ4ZWx2Yg%3D%3D&amp;utm_source=qr" TargetMode="External"/><Relationship Id="rId2" Type="http://schemas.openxmlformats.org/officeDocument/2006/relationships/hyperlink" Target="https://vt.tiktok.com/ZSHWoP3W7/" TargetMode="External"/><Relationship Id="rId16" Type="http://schemas.openxmlformats.org/officeDocument/2006/relationships/hyperlink" Target="https://www.instagram.com/therealnomikang" TargetMode="External"/><Relationship Id="rId29" Type="http://schemas.openxmlformats.org/officeDocument/2006/relationships/hyperlink" Target="https://www.tiktok.com/@glowymarika" TargetMode="External"/><Relationship Id="rId11" Type="http://schemas.openxmlformats.org/officeDocument/2006/relationships/hyperlink" Target="https://vt.tiktok.com/ZSHG5PS8c/" TargetMode="External"/><Relationship Id="rId24" Type="http://schemas.openxmlformats.org/officeDocument/2006/relationships/hyperlink" Target="https://www.instagram.com/p/DXqZbd0EgXW/" TargetMode="External"/><Relationship Id="rId32" Type="http://schemas.openxmlformats.org/officeDocument/2006/relationships/hyperlink" Target="https://www.tiktok.com/@child_of_abraxas?_r=1&amp;_t=ZS-95uFnqNZwVJ" TargetMode="External"/><Relationship Id="rId37" Type="http://schemas.openxmlformats.org/officeDocument/2006/relationships/hyperlink" Target="https://www.instagram.com/irisoyeon_" TargetMode="External"/><Relationship Id="rId40" Type="http://schemas.openxmlformats.org/officeDocument/2006/relationships/hyperlink" Target="https://www.tiktok.com/@belinda.fashionista?_r=1&amp;_t=ZN-95u9XMmjpyg" TargetMode="External"/><Relationship Id="rId45" Type="http://schemas.openxmlformats.org/officeDocument/2006/relationships/hyperlink" Target="https://www.instagram.com/reel/DYvfkeBSV7P/" TargetMode="External"/><Relationship Id="rId5" Type="http://schemas.openxmlformats.org/officeDocument/2006/relationships/hyperlink" Target="https://vt.tiktok.com/ZSHxN1LpT/" TargetMode="External"/><Relationship Id="rId15" Type="http://schemas.openxmlformats.org/officeDocument/2006/relationships/hyperlink" Target="https://www.instagram.com/reel/DXJ6e7oCgQ3/?igsh=cnhoangxNWY2c29h" TargetMode="External"/><Relationship Id="rId23" Type="http://schemas.openxmlformats.org/officeDocument/2006/relationships/hyperlink" Target="https://www.tiktok.com/@.joan__/video/7633634902382087445?_r=1&amp;_t=ZS-8wUeIBpusyX" TargetMode="External"/><Relationship Id="rId28" Type="http://schemas.openxmlformats.org/officeDocument/2006/relationships/hyperlink" Target="https://www.instagram.com/reel/DXRNnj1DYkh/" TargetMode="External"/><Relationship Id="rId36" Type="http://schemas.openxmlformats.org/officeDocument/2006/relationships/hyperlink" Target="https://www.tiktok.com/@irisoyeon_?_r=1&amp;_t=ZS-95ty8mvQ94u" TargetMode="External"/><Relationship Id="rId49" Type="http://schemas.openxmlformats.org/officeDocument/2006/relationships/hyperlink" Target="https://www.instagram.com/reel/DYvfkeBSV7P/" TargetMode="External"/><Relationship Id="rId10" Type="http://schemas.openxmlformats.org/officeDocument/2006/relationships/hyperlink" Target="https://www.tiktok.com/@agata0710" TargetMode="External"/><Relationship Id="rId19" Type="http://schemas.openxmlformats.org/officeDocument/2006/relationships/hyperlink" Target="https://www.tiktok.com/@bygiannalee" TargetMode="External"/><Relationship Id="rId31" Type="http://schemas.openxmlformats.org/officeDocument/2006/relationships/hyperlink" Target="https://www.instagram.com/reel/DXructADTA1/?igsh=bjJ0amVtN3dud2xm" TargetMode="External"/><Relationship Id="rId44" Type="http://schemas.openxmlformats.org/officeDocument/2006/relationships/hyperlink" Target="https://www.instagram.com/natashaamiri_" TargetMode="External"/><Relationship Id="rId4" Type="http://schemas.openxmlformats.org/officeDocument/2006/relationships/hyperlink" Target="https://www.tiktok.com/@annet.krist?_r=1&amp;_t=ZS-94x2X42IxSH" TargetMode="External"/><Relationship Id="rId9" Type="http://schemas.openxmlformats.org/officeDocument/2006/relationships/hyperlink" Target="https://www.instagram.com/reel/DW9CPOZE7EY/" TargetMode="External"/><Relationship Id="rId14" Type="http://schemas.openxmlformats.org/officeDocument/2006/relationships/hyperlink" Target="https://vt.tiktok.com/ZSHtChN3A/" TargetMode="External"/><Relationship Id="rId22" Type="http://schemas.openxmlformats.org/officeDocument/2006/relationships/hyperlink" Target="https://www.instagram.com/imjoancultura?igsh=MTkzYTMyaGx0YTJrdQ%3D%3D&amp;utm_source=qr" TargetMode="External"/><Relationship Id="rId27" Type="http://schemas.openxmlformats.org/officeDocument/2006/relationships/hyperlink" Target="https://www.tiktok.com/@chelsieyoo/video/7630037270581628167?_r=1&amp;_t=ZS-94vHn3iFxQe" TargetMode="External"/><Relationship Id="rId30" Type="http://schemas.openxmlformats.org/officeDocument/2006/relationships/hyperlink" Target="https://vm.tiktok.com/ZNRgNm7wT/" TargetMode="External"/><Relationship Id="rId35" Type="http://schemas.openxmlformats.org/officeDocument/2006/relationships/hyperlink" Target="https://www.instagram.com/reel/DYCskwQvwdz/" TargetMode="External"/><Relationship Id="rId43" Type="http://schemas.openxmlformats.org/officeDocument/2006/relationships/hyperlink" Target="https://www.instagram.com/reel/DYRlk5Bvk83/" TargetMode="External"/><Relationship Id="rId48" Type="http://schemas.openxmlformats.org/officeDocument/2006/relationships/hyperlink" Target="https://www.tiktok.com/@seoulissa/video/7641275750527618325?fbclid=PAZXh0bgNhZW0CMTEAc3J0YwZhcHBfaWQPOTM2NjE5NzQzMzkyNDU5AAGnsuya0zdcLMsgUBuoKbN0d0yTuup9MYFD_zvvWCf_oIsI3XgfTypBCynexls_aem_8gBn81QfU5QX00kl1MW4Bg" TargetMode="External"/><Relationship Id="rId8" Type="http://schemas.openxmlformats.org/officeDocument/2006/relationships/hyperlink" Target="https://vt.tiktok.com/ZSHQBXyJv/" TargetMode="External"/><Relationship Id="rId3" Type="http://schemas.openxmlformats.org/officeDocument/2006/relationships/hyperlink" Target="https://www.instagram.com/reel/DXMafFACg7J/?igsh=b2dzejFpc250NWh2" TargetMode="External"/><Relationship Id="rId12" Type="http://schemas.openxmlformats.org/officeDocument/2006/relationships/hyperlink" Target="https://www.tiktok.com/@fine_xoxo?_r=1&amp;_t=ZS-94Gd0cZ94Dt" TargetMode="External"/><Relationship Id="rId17" Type="http://schemas.openxmlformats.org/officeDocument/2006/relationships/hyperlink" Target="https://vt.tiktok.com/ZSHvN9MKF/" TargetMode="External"/><Relationship Id="rId25" Type="http://schemas.openxmlformats.org/officeDocument/2006/relationships/hyperlink" Target="https://www.tiktok.com/@chelsieyoo?_r=1&amp;_t=ZS-94vHn3iFxQe" TargetMode="External"/><Relationship Id="rId33" Type="http://schemas.openxmlformats.org/officeDocument/2006/relationships/hyperlink" Target="https://www.instagram.com/child_of_abraxos?igsh=MWpkNnZ6bXZid2lhMg%3D%3D&amp;utm_source=qr" TargetMode="External"/><Relationship Id="rId38" Type="http://schemas.openxmlformats.org/officeDocument/2006/relationships/hyperlink" Target="https://www.tiktok.com/@irisoyeon_/video/7638646355627560212?_r=1&amp;_t=ZS-95ty8mvQ94u" TargetMode="External"/><Relationship Id="rId46" Type="http://schemas.openxmlformats.org/officeDocument/2006/relationships/hyperlink" Target="https://www.tiktok.com/@seoulissa?fbclid=PAZXh0bgNhZW0CMTEAc3J0YwZhcHBfaWQPOTM2NjE5NzQzMzkyNDU5AAGnsuya0zdcLMsgUBuoKbN0d0yTuup9MYFD_zvvWCf_oIsI3XgfTypBCynexls_aem_8gBn81QfU5QX00kl1MW4Bg" TargetMode="External"/><Relationship Id="rId20" Type="http://schemas.openxmlformats.org/officeDocument/2006/relationships/hyperlink" Target="https://www.tiktok.com/@bygiannalee/video/7628671526413356308" TargetMode="External"/><Relationship Id="rId41" Type="http://schemas.openxmlformats.org/officeDocument/2006/relationships/hyperlink" Target="https://www.instagram.com/belinda.fashionista?igsh=eDM3dGttNTZlOW0w&amp;utm_source=qr" TargetMode="External"/><Relationship Id="rId1" Type="http://schemas.openxmlformats.org/officeDocument/2006/relationships/hyperlink" Target="https://www.instagram.com/lois_lee_lois_nail?igsh=MWU2bGxjOTRzc3h2Ng%3D%3D&amp;utm_source=qr" TargetMode="External"/><Relationship Id="rId6" Type="http://schemas.openxmlformats.org/officeDocument/2006/relationships/hyperlink" Target="https://www.instagram.com/reel/DW6SHTSD7lS/?igsh=MTdkMHh4MngxN2N0cw==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t/ZTkkTxdsD/" TargetMode="External"/><Relationship Id="rId18" Type="http://schemas.openxmlformats.org/officeDocument/2006/relationships/hyperlink" Target="https://www.instagram.com/verael_121" TargetMode="External"/><Relationship Id="rId26" Type="http://schemas.openxmlformats.org/officeDocument/2006/relationships/hyperlink" Target="https://www.tiktok.com/@koreabygrace/video/7634169888772197650" TargetMode="External"/><Relationship Id="rId39" Type="http://schemas.openxmlformats.org/officeDocument/2006/relationships/hyperlink" Target="https://www.tiktok.com/@mary.shire?_r=1&amp;_t=ZS-961ozB4KUXS" TargetMode="External"/><Relationship Id="rId21" Type="http://schemas.openxmlformats.org/officeDocument/2006/relationships/hyperlink" Target="https://www.tiktok.com/@ziekelijk" TargetMode="External"/><Relationship Id="rId34" Type="http://schemas.openxmlformats.org/officeDocument/2006/relationships/hyperlink" Target="https://www.instagram.com/renderella06?igsh=YTBwZHY1bThxdHZ0" TargetMode="External"/><Relationship Id="rId42" Type="http://schemas.openxmlformats.org/officeDocument/2006/relationships/hyperlink" Target="https://www.instagram.com/reel/DYdgvDUqfLH/?igsh=a2lmajh3em1sdWN2" TargetMode="External"/><Relationship Id="rId7" Type="http://schemas.openxmlformats.org/officeDocument/2006/relationships/hyperlink" Target="https://vt.tiktok.com/ZGdutFXkr/" TargetMode="External"/><Relationship Id="rId2" Type="http://schemas.openxmlformats.org/officeDocument/2006/relationships/hyperlink" Target="https://www.tiktok.com/@.heeeelen/video/7623415364386327830?_r=1&amp;_t=ZN-95A6geVjd1q" TargetMode="External"/><Relationship Id="rId16" Type="http://schemas.openxmlformats.org/officeDocument/2006/relationships/hyperlink" Target="https://www.instagram.com/reel/DWwCgwqEZZW/?igsh=Z242b293ZjNndWZy" TargetMode="External"/><Relationship Id="rId29" Type="http://schemas.openxmlformats.org/officeDocument/2006/relationships/hyperlink" Target="https://www.instagram.com/p/DYFFEUzz9wn/" TargetMode="External"/><Relationship Id="rId1" Type="http://schemas.openxmlformats.org/officeDocument/2006/relationships/hyperlink" Target="https://www.tiktok.com/@.heeeelen?_r=1&amp;_t=ZN-94uzOxkvaUA" TargetMode="External"/><Relationship Id="rId6" Type="http://schemas.openxmlformats.org/officeDocument/2006/relationships/hyperlink" Target="https://www.tiktok.com/@sofiaalopesc?_r=1&amp;_t=ZG-94BMg4D6zlh" TargetMode="External"/><Relationship Id="rId11" Type="http://schemas.openxmlformats.org/officeDocument/2006/relationships/hyperlink" Target="https://www.tiktok.com/@deborahinkorea_" TargetMode="External"/><Relationship Id="rId24" Type="http://schemas.openxmlformats.org/officeDocument/2006/relationships/hyperlink" Target="https://www.tiktok.com/@koreabygrace" TargetMode="External"/><Relationship Id="rId32" Type="http://schemas.openxmlformats.org/officeDocument/2006/relationships/hyperlink" Target="https://www.tiktok.com/@itsanaolivas/video/7635960715538337042?_r=1&amp;_t=ZS-95wBNlnzXOs" TargetMode="External"/><Relationship Id="rId37" Type="http://schemas.openxmlformats.org/officeDocument/2006/relationships/hyperlink" Target="https://www.instagram.com/hw26_hw" TargetMode="External"/><Relationship Id="rId40" Type="http://schemas.openxmlformats.org/officeDocument/2006/relationships/hyperlink" Target="https://www.instagram.com/mary.shire?igsh=M3EwZjBoOTM4MHkx&amp;utm_source=qr" TargetMode="External"/><Relationship Id="rId45" Type="http://schemas.openxmlformats.org/officeDocument/2006/relationships/hyperlink" Target="https://www.tiktok.com/@victoriarenblad/video/7641977526822145302?_r=1&amp;_t=ZN-95yxwAN8Eze" TargetMode="External"/><Relationship Id="rId5" Type="http://schemas.openxmlformats.org/officeDocument/2006/relationships/hyperlink" Target="https://www.instagram.com/reel/DWl4iQcCYWo/" TargetMode="External"/><Relationship Id="rId15" Type="http://schemas.openxmlformats.org/officeDocument/2006/relationships/hyperlink" Target="https://vt.tiktok.com/ZSHDacKnd/" TargetMode="External"/><Relationship Id="rId23" Type="http://schemas.openxmlformats.org/officeDocument/2006/relationships/hyperlink" Target="https://vm.tiktok.com/ZGdu3LS6J/" TargetMode="External"/><Relationship Id="rId28" Type="http://schemas.openxmlformats.org/officeDocument/2006/relationships/hyperlink" Target="https://www.tiktok.com/@melissalimes/video/7637140799590812949" TargetMode="External"/><Relationship Id="rId36" Type="http://schemas.openxmlformats.org/officeDocument/2006/relationships/hyperlink" Target="https://www.instagram.com/reel/DX6x7FwBElz/" TargetMode="External"/><Relationship Id="rId10" Type="http://schemas.openxmlformats.org/officeDocument/2006/relationships/hyperlink" Target="https://www.tiktok.com/@oreo..leo/video/7622598230169160978?is_from_webapp=1&amp;sender_device=pc&amp;web_id=7599666610312627729" TargetMode="External"/><Relationship Id="rId19" Type="http://schemas.openxmlformats.org/officeDocument/2006/relationships/hyperlink" Target="https://www.tiktok.com/@verael_121/video/7628210197760183573" TargetMode="External"/><Relationship Id="rId31" Type="http://schemas.openxmlformats.org/officeDocument/2006/relationships/hyperlink" Target="https://www.instagram.com/itsanaolivas/" TargetMode="External"/><Relationship Id="rId44" Type="http://schemas.openxmlformats.org/officeDocument/2006/relationships/hyperlink" Target="https://www.instagram.com/victoriarenblad?igsh=d2tpN2drcmg2bmc%3D&amp;utm_source=qr" TargetMode="External"/><Relationship Id="rId4" Type="http://schemas.openxmlformats.org/officeDocument/2006/relationships/hyperlink" Target="https://vt.tiktok.com/ZSHjxQAX8/" TargetMode="External"/><Relationship Id="rId9" Type="http://schemas.openxmlformats.org/officeDocument/2006/relationships/hyperlink" Target="https://www.tiktok.com/@oreo..leo" TargetMode="External"/><Relationship Id="rId14" Type="http://schemas.openxmlformats.org/officeDocument/2006/relationships/hyperlink" Target="https://www.instagram.com/creator_mdd?igsh=MTNzOWxxODFuZTd6eQ%3D%3D&amp;utm_source=qr" TargetMode="External"/><Relationship Id="rId22" Type="http://schemas.openxmlformats.org/officeDocument/2006/relationships/hyperlink" Target="https://www.instagram.com/6ihal" TargetMode="External"/><Relationship Id="rId27" Type="http://schemas.openxmlformats.org/officeDocument/2006/relationships/hyperlink" Target="https://www.tiktok.com/@melissalimes" TargetMode="External"/><Relationship Id="rId30" Type="http://schemas.openxmlformats.org/officeDocument/2006/relationships/hyperlink" Target="https://www.tiktok.com/@itsanaolivas?_r=1&amp;_t=ZS-95wBNlnzXOs" TargetMode="External"/><Relationship Id="rId35" Type="http://schemas.openxmlformats.org/officeDocument/2006/relationships/hyperlink" Target="https://www.tiktok.com/@renderella4real/video/7636033162614721799?_r=1&amp;_t=ZS-95v2oBbBnoS" TargetMode="External"/><Relationship Id="rId43" Type="http://schemas.openxmlformats.org/officeDocument/2006/relationships/hyperlink" Target="https://www.tiktok.com/@victoriarenblad?_r=1&amp;_t=ZN-95yxwAN8Eze" TargetMode="External"/><Relationship Id="rId8" Type="http://schemas.openxmlformats.org/officeDocument/2006/relationships/hyperlink" Target="https://www.instagram.com/reel/DWncJLDAPOC/?igsh=MWdlcTk0b3YxdThwaA==" TargetMode="External"/><Relationship Id="rId3" Type="http://schemas.openxmlformats.org/officeDocument/2006/relationships/hyperlink" Target="https://www.instagram.com/travelikediva?igsh=MXd1d3VscGd2aDlteg%3D%3D&amp;utm_source=qr" TargetMode="External"/><Relationship Id="rId12" Type="http://schemas.openxmlformats.org/officeDocument/2006/relationships/hyperlink" Target="https://www.instagram.com/deborahinkorea_/" TargetMode="External"/><Relationship Id="rId17" Type="http://schemas.openxmlformats.org/officeDocument/2006/relationships/hyperlink" Target="https://www.tiktok.com/@verael_121" TargetMode="External"/><Relationship Id="rId25" Type="http://schemas.openxmlformats.org/officeDocument/2006/relationships/hyperlink" Target="https://www.tiktok.com/@koreabygrace/video/7633404521720352018" TargetMode="External"/><Relationship Id="rId33" Type="http://schemas.openxmlformats.org/officeDocument/2006/relationships/hyperlink" Target="https://www.tiktok.com/@renderella4real?_r=1&amp;_t=ZS-95v2oBbBnoS" TargetMode="External"/><Relationship Id="rId38" Type="http://schemas.openxmlformats.org/officeDocument/2006/relationships/hyperlink" Target="https://www.instagram.com/p/DYGXeySvCRv/" TargetMode="External"/><Relationship Id="rId46" Type="http://schemas.openxmlformats.org/officeDocument/2006/relationships/hyperlink" Target="https://www.instagram.com/reel/DYkDRfayex_/" TargetMode="External"/><Relationship Id="rId20" Type="http://schemas.openxmlformats.org/officeDocument/2006/relationships/hyperlink" Target="https://www.instagram.com/reel/DXEgpXEAQAg/" TargetMode="External"/><Relationship Id="rId41" Type="http://schemas.openxmlformats.org/officeDocument/2006/relationships/hyperlink" Target="https://vt.tiktok.com/ZSx2VQPpe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vm.tiktok.com/ZGdu3LS6J/" TargetMode="External"/><Relationship Id="rId21" Type="http://schemas.openxmlformats.org/officeDocument/2006/relationships/hyperlink" Target="https://www.instagram.com/verael_121" TargetMode="External"/><Relationship Id="rId42" Type="http://schemas.openxmlformats.org/officeDocument/2006/relationships/hyperlink" Target="https://www.tiktok.com/@mary.shire?_r=1&amp;_t=ZS-961ozB4KUXS" TargetMode="External"/><Relationship Id="rId47" Type="http://schemas.openxmlformats.org/officeDocument/2006/relationships/hyperlink" Target="https://www.instagram.com/victoriarenblad?igsh=d2tpN2drcmg2bmc%3D&amp;utm_source=qr" TargetMode="External"/><Relationship Id="rId63" Type="http://schemas.openxmlformats.org/officeDocument/2006/relationships/hyperlink" Target="https://www.instagram.com/_1finesse_?igsh=MzE3d2Vnc2Rhd242&amp;utm_source=qr" TargetMode="External"/><Relationship Id="rId68" Type="http://schemas.openxmlformats.org/officeDocument/2006/relationships/hyperlink" Target="https://vt.tiktok.com/ZSHvN9MKF/" TargetMode="External"/><Relationship Id="rId84" Type="http://schemas.openxmlformats.org/officeDocument/2006/relationships/hyperlink" Target="https://www.tiktok.com/@child_of_abraxas?_r=1&amp;_t=ZS-95uFnqNZwVJ" TargetMode="External"/><Relationship Id="rId89" Type="http://schemas.openxmlformats.org/officeDocument/2006/relationships/hyperlink" Target="https://www.instagram.com/irisoyeon_" TargetMode="External"/><Relationship Id="rId16" Type="http://schemas.openxmlformats.org/officeDocument/2006/relationships/hyperlink" Target="https://www.tiktok.com/@skincarebybibi7" TargetMode="External"/><Relationship Id="rId11" Type="http://schemas.openxmlformats.org/officeDocument/2006/relationships/hyperlink" Target="https://www.tiktok.com/@oreo..leo" TargetMode="External"/><Relationship Id="rId32" Type="http://schemas.openxmlformats.org/officeDocument/2006/relationships/hyperlink" Target="https://www.instagram.com/p/DYFFEUzz9wn/" TargetMode="External"/><Relationship Id="rId37" Type="http://schemas.openxmlformats.org/officeDocument/2006/relationships/hyperlink" Target="https://www.instagram.com/renderella06?igsh=YTBwZHY1bThxdHZ0" TargetMode="External"/><Relationship Id="rId53" Type="http://schemas.openxmlformats.org/officeDocument/2006/relationships/hyperlink" Target="https://www.instagram.com/annet.krist/reels/" TargetMode="External"/><Relationship Id="rId58" Type="http://schemas.openxmlformats.org/officeDocument/2006/relationships/hyperlink" Target="https://vt.tiktok.com/ZSHQBXyJv/" TargetMode="External"/><Relationship Id="rId74" Type="http://schemas.openxmlformats.org/officeDocument/2006/relationships/hyperlink" Target="https://www.tiktok.com/@.joan__/video/7633634902382087445?_r=1&amp;_t=ZS-8wUeIBpusyX" TargetMode="External"/><Relationship Id="rId79" Type="http://schemas.openxmlformats.org/officeDocument/2006/relationships/hyperlink" Target="https://www.instagram.com/reel/DXRNnj1DYkh/" TargetMode="External"/><Relationship Id="rId102" Type="http://schemas.openxmlformats.org/officeDocument/2006/relationships/table" Target="../tables/table22.xml"/><Relationship Id="rId5" Type="http://schemas.openxmlformats.org/officeDocument/2006/relationships/hyperlink" Target="https://vt.tiktok.com/ZSHjxQAX8/" TargetMode="External"/><Relationship Id="rId90" Type="http://schemas.openxmlformats.org/officeDocument/2006/relationships/hyperlink" Target="https://www.tiktok.com/@irisoyeon_/video/7638646355627560212?_r=1&amp;_t=ZS-95ty8mvQ94u" TargetMode="External"/><Relationship Id="rId95" Type="http://schemas.openxmlformats.org/officeDocument/2006/relationships/hyperlink" Target="https://www.instagram.com/reel/DYRlk5Bvk83/" TargetMode="External"/><Relationship Id="rId22" Type="http://schemas.openxmlformats.org/officeDocument/2006/relationships/hyperlink" Target="https://www.tiktok.com/@verael_121/video/7628210197760183573" TargetMode="External"/><Relationship Id="rId27" Type="http://schemas.openxmlformats.org/officeDocument/2006/relationships/hyperlink" Target="https://www.tiktok.com/@koreabygrace" TargetMode="External"/><Relationship Id="rId43" Type="http://schemas.openxmlformats.org/officeDocument/2006/relationships/hyperlink" Target="https://www.instagram.com/mary.shire?igsh=M3EwZjBoOTM4MHkx&amp;utm_source=qr" TargetMode="External"/><Relationship Id="rId48" Type="http://schemas.openxmlformats.org/officeDocument/2006/relationships/hyperlink" Target="https://www.tiktok.com/@victoriarenblad/video/7641977526822145302?_r=1&amp;_t=ZN-95yxwAN8Eze" TargetMode="External"/><Relationship Id="rId64" Type="http://schemas.openxmlformats.org/officeDocument/2006/relationships/hyperlink" Target="https://vt.tiktok.com/ZSHtChN3A/" TargetMode="External"/><Relationship Id="rId69" Type="http://schemas.openxmlformats.org/officeDocument/2006/relationships/hyperlink" Target="https://www.instagram.com/reel/DXMQf4Ekr52/?igsh=bzM0YTZzbmVidXI1" TargetMode="External"/><Relationship Id="rId80" Type="http://schemas.openxmlformats.org/officeDocument/2006/relationships/hyperlink" Target="https://www.tiktok.com/@glowymarika" TargetMode="External"/><Relationship Id="rId85" Type="http://schemas.openxmlformats.org/officeDocument/2006/relationships/hyperlink" Target="https://www.instagram.com/child_of_abraxos?igsh=MWpkNnZ6bXZid2lhMg%3D%3D&amp;utm_source=qr" TargetMode="External"/><Relationship Id="rId12" Type="http://schemas.openxmlformats.org/officeDocument/2006/relationships/hyperlink" Target="https://www.tiktok.com/@oreo..leo/video/7622598230169160978?is_from_webapp=1&amp;sender_device=pc&amp;web_id=7599666610312627729" TargetMode="External"/><Relationship Id="rId17" Type="http://schemas.openxmlformats.org/officeDocument/2006/relationships/hyperlink" Target="https://www.instagram.com/creator_mdd?igsh=MTNzOWxxODFuZTd6eQ%3D%3D&amp;utm_source=qr" TargetMode="External"/><Relationship Id="rId33" Type="http://schemas.openxmlformats.org/officeDocument/2006/relationships/hyperlink" Target="https://www.tiktok.com/@itsanaolivas?_r=1&amp;_t=ZS-95wBNlnzXOs" TargetMode="External"/><Relationship Id="rId38" Type="http://schemas.openxmlformats.org/officeDocument/2006/relationships/hyperlink" Target="https://www.tiktok.com/@renderella4real/video/7636033162614721799?_r=1&amp;_t=ZS-95v2oBbBnoS" TargetMode="External"/><Relationship Id="rId59" Type="http://schemas.openxmlformats.org/officeDocument/2006/relationships/hyperlink" Target="https://www.instagram.com/reel/DW9CPOZE7EY/" TargetMode="External"/><Relationship Id="rId103" Type="http://schemas.openxmlformats.org/officeDocument/2006/relationships/table" Target="../tables/table23.xml"/><Relationship Id="rId20" Type="http://schemas.openxmlformats.org/officeDocument/2006/relationships/hyperlink" Target="https://www.tiktok.com/@verael_121" TargetMode="External"/><Relationship Id="rId41" Type="http://schemas.openxmlformats.org/officeDocument/2006/relationships/hyperlink" Target="https://www.instagram.com/p/DYGXeySvCRv/" TargetMode="External"/><Relationship Id="rId54" Type="http://schemas.openxmlformats.org/officeDocument/2006/relationships/hyperlink" Target="https://vt.tiktok.com/ZSHxN1LpT/" TargetMode="External"/><Relationship Id="rId62" Type="http://schemas.openxmlformats.org/officeDocument/2006/relationships/hyperlink" Target="https://www.tiktok.com/@fine_xoxo?_r=1&amp;_t=ZS-94Gd0cZ94Dt" TargetMode="External"/><Relationship Id="rId70" Type="http://schemas.openxmlformats.org/officeDocument/2006/relationships/hyperlink" Target="https://www.tiktok.com/@bygiannalee" TargetMode="External"/><Relationship Id="rId75" Type="http://schemas.openxmlformats.org/officeDocument/2006/relationships/hyperlink" Target="https://www.instagram.com/p/DXqZbd0EgXW/" TargetMode="External"/><Relationship Id="rId83" Type="http://schemas.openxmlformats.org/officeDocument/2006/relationships/hyperlink" Target="https://www.instagram.com/reel/DXructADTA1/?igsh=bjJ0amVtN3dud2xm" TargetMode="External"/><Relationship Id="rId88" Type="http://schemas.openxmlformats.org/officeDocument/2006/relationships/hyperlink" Target="https://www.tiktok.com/@irisoyeon_?_r=1&amp;_t=ZS-95ty8mvQ94u" TargetMode="External"/><Relationship Id="rId91" Type="http://schemas.openxmlformats.org/officeDocument/2006/relationships/hyperlink" Target="https://www.instagram.com/reel/DYM7u-tI4qm/" TargetMode="External"/><Relationship Id="rId96" Type="http://schemas.openxmlformats.org/officeDocument/2006/relationships/hyperlink" Target="https://www.tiktok.com/@seoulissa?fbclid=PAZXh0bgNhZW0CMTEAc3J0YwZhcHBfaWQPOTM2NjE5NzQzMzkyNDU5AAGnsuya0zdcLMsgUBuoKbN0d0yTuup9MYFD_zvvWCf_oIsI3XgfTypBCynexls_aem_8gBn81QfU5QX00kl1MW4Bg" TargetMode="External"/><Relationship Id="rId1" Type="http://schemas.openxmlformats.org/officeDocument/2006/relationships/hyperlink" Target="https://www.tiktok.com/@.heeeelen?_r=1&amp;_t=ZN-94uzOxkvaUA" TargetMode="External"/><Relationship Id="rId6" Type="http://schemas.openxmlformats.org/officeDocument/2006/relationships/hyperlink" Target="https://www.instagram.com/reel/DWl4iQcCYWo/" TargetMode="External"/><Relationship Id="rId15" Type="http://schemas.openxmlformats.org/officeDocument/2006/relationships/hyperlink" Target="https://www.tiktok.com/t/ZTkkTxdsD/" TargetMode="External"/><Relationship Id="rId23" Type="http://schemas.openxmlformats.org/officeDocument/2006/relationships/hyperlink" Target="https://www.instagram.com/reel/DXEgpXEAQAg/" TargetMode="External"/><Relationship Id="rId28" Type="http://schemas.openxmlformats.org/officeDocument/2006/relationships/hyperlink" Target="https://www.tiktok.com/@koreabygrace/video/7633404521720352018" TargetMode="External"/><Relationship Id="rId36" Type="http://schemas.openxmlformats.org/officeDocument/2006/relationships/hyperlink" Target="https://www.tiktok.com/@renderella4real?_r=1&amp;_t=ZS-95v2oBbBnoS" TargetMode="External"/><Relationship Id="rId49" Type="http://schemas.openxmlformats.org/officeDocument/2006/relationships/hyperlink" Target="https://www.instagram.com/lois_lee_lois_nail?igsh=MWU2bGxjOTRzc3h2Ng%3D%3D&amp;utm_source=qr" TargetMode="External"/><Relationship Id="rId57" Type="http://schemas.openxmlformats.org/officeDocument/2006/relationships/hyperlink" Target="https://www.instagram.com/anyaklyackaya?igsh=MXhtNDU5YzQ4ZWx2Yg%3D%3D&amp;utm_source=qr" TargetMode="External"/><Relationship Id="rId106" Type="http://schemas.openxmlformats.org/officeDocument/2006/relationships/table" Target="../tables/table26.xml"/><Relationship Id="rId10" Type="http://schemas.openxmlformats.org/officeDocument/2006/relationships/hyperlink" Target="https://www.instagram.com/reel/DWncJLDAPOC/?igsh=MWdlcTk0b3YxdThwaA==" TargetMode="External"/><Relationship Id="rId31" Type="http://schemas.openxmlformats.org/officeDocument/2006/relationships/hyperlink" Target="https://www.tiktok.com/@melissalimes/video/7637140799590812949" TargetMode="External"/><Relationship Id="rId44" Type="http://schemas.openxmlformats.org/officeDocument/2006/relationships/hyperlink" Target="https://vt.tiktok.com/ZSx2VQPpe/" TargetMode="External"/><Relationship Id="rId52" Type="http://schemas.openxmlformats.org/officeDocument/2006/relationships/hyperlink" Target="https://www.tiktok.com/@annet.krist?_r=1&amp;_t=ZS-94x2X42IxSH" TargetMode="External"/><Relationship Id="rId60" Type="http://schemas.openxmlformats.org/officeDocument/2006/relationships/hyperlink" Target="https://www.tiktok.com/@agata0710" TargetMode="External"/><Relationship Id="rId65" Type="http://schemas.openxmlformats.org/officeDocument/2006/relationships/hyperlink" Target="https://www.instagram.com/reel/DXJ6e7oCgQ3/?igsh=cnhoangxNWY2c29h" TargetMode="External"/><Relationship Id="rId73" Type="http://schemas.openxmlformats.org/officeDocument/2006/relationships/hyperlink" Target="https://www.instagram.com/imjoancultura?igsh=MTkzYTMyaGx0YTJrdQ%3D%3D&amp;utm_source=qr" TargetMode="External"/><Relationship Id="rId78" Type="http://schemas.openxmlformats.org/officeDocument/2006/relationships/hyperlink" Target="https://www.tiktok.com/@chelsieyoo/video/7630037270581628167?_r=1&amp;_t=ZS-94vHn3iFxQe" TargetMode="External"/><Relationship Id="rId81" Type="http://schemas.openxmlformats.org/officeDocument/2006/relationships/hyperlink" Target="https://www.instagram.com/glowymarika/reels/" TargetMode="External"/><Relationship Id="rId86" Type="http://schemas.openxmlformats.org/officeDocument/2006/relationships/hyperlink" Target="https://www.tiktok.com/@child_of_abraxas/video/7637172719280295189?_r=1&amp;_t=ZS-95uFnqNZwVJ" TargetMode="External"/><Relationship Id="rId94" Type="http://schemas.openxmlformats.org/officeDocument/2006/relationships/hyperlink" Target="https://vm.tiktok.com/ZNRGXeBwr/" TargetMode="External"/><Relationship Id="rId99" Type="http://schemas.openxmlformats.org/officeDocument/2006/relationships/hyperlink" Target="https://www.instagram.com/natashaamiri_" TargetMode="External"/><Relationship Id="rId101" Type="http://schemas.openxmlformats.org/officeDocument/2006/relationships/table" Target="../tables/table21.xml"/><Relationship Id="rId4" Type="http://schemas.openxmlformats.org/officeDocument/2006/relationships/hyperlink" Target="https://www.instagram.com/travelikediva?igsh=MXd1d3VscGd2aDlteg%3D%3D&amp;utm_source=qr" TargetMode="External"/><Relationship Id="rId9" Type="http://schemas.openxmlformats.org/officeDocument/2006/relationships/hyperlink" Target="https://vt.tiktok.com/ZGdutFXkr/" TargetMode="External"/><Relationship Id="rId13" Type="http://schemas.openxmlformats.org/officeDocument/2006/relationships/hyperlink" Target="https://www.tiktok.com/@deborahinkorea_" TargetMode="External"/><Relationship Id="rId18" Type="http://schemas.openxmlformats.org/officeDocument/2006/relationships/hyperlink" Target="https://vt.tiktok.com/ZSHDacKnd/" TargetMode="External"/><Relationship Id="rId39" Type="http://schemas.openxmlformats.org/officeDocument/2006/relationships/hyperlink" Target="https://www.instagram.com/reel/DX6x7FwBElz/" TargetMode="External"/><Relationship Id="rId34" Type="http://schemas.openxmlformats.org/officeDocument/2006/relationships/hyperlink" Target="https://www.instagram.com/itsanaolivas/" TargetMode="External"/><Relationship Id="rId50" Type="http://schemas.openxmlformats.org/officeDocument/2006/relationships/hyperlink" Target="https://vt.tiktok.com/ZSHWoP3W7/" TargetMode="External"/><Relationship Id="rId55" Type="http://schemas.openxmlformats.org/officeDocument/2006/relationships/hyperlink" Target="https://www.instagram.com/reel/DW6SHTSD7lS/?igsh=MTdkMHh4MngxN2N0cw==" TargetMode="External"/><Relationship Id="rId76" Type="http://schemas.openxmlformats.org/officeDocument/2006/relationships/hyperlink" Target="https://www.tiktok.com/@chelsieyoo?_r=1&amp;_t=ZS-94vHn3iFxQe" TargetMode="External"/><Relationship Id="rId97" Type="http://schemas.openxmlformats.org/officeDocument/2006/relationships/hyperlink" Target="https://www.instagram.com/0.banana" TargetMode="External"/><Relationship Id="rId104" Type="http://schemas.openxmlformats.org/officeDocument/2006/relationships/table" Target="../tables/table24.xml"/><Relationship Id="rId7" Type="http://schemas.openxmlformats.org/officeDocument/2006/relationships/hyperlink" Target="https://www.tiktok.com/@sofiaalopesc?_r=1&amp;_t=ZG-94BMg4D6zlh" TargetMode="External"/><Relationship Id="rId71" Type="http://schemas.openxmlformats.org/officeDocument/2006/relationships/hyperlink" Target="https://www.tiktok.com/@bygiannalee/video/7628671526413356308" TargetMode="External"/><Relationship Id="rId92" Type="http://schemas.openxmlformats.org/officeDocument/2006/relationships/hyperlink" Target="https://www.tiktok.com/@belinda.fashionista?_r=1&amp;_t=ZN-95u9XMmjpyg" TargetMode="External"/><Relationship Id="rId2" Type="http://schemas.openxmlformats.org/officeDocument/2006/relationships/hyperlink" Target="https://www.tiktok.com/@.heeeelen/video/7623415364386327830?_r=1&amp;_t=ZN-95A6geVjd1q" TargetMode="External"/><Relationship Id="rId29" Type="http://schemas.openxmlformats.org/officeDocument/2006/relationships/hyperlink" Target="https://www.tiktok.com/@melissalimes" TargetMode="External"/><Relationship Id="rId24" Type="http://schemas.openxmlformats.org/officeDocument/2006/relationships/hyperlink" Target="https://www.tiktok.com/@fyejabi" TargetMode="External"/><Relationship Id="rId40" Type="http://schemas.openxmlformats.org/officeDocument/2006/relationships/hyperlink" Target="https://www.instagram.com/hw26_hw" TargetMode="External"/><Relationship Id="rId45" Type="http://schemas.openxmlformats.org/officeDocument/2006/relationships/hyperlink" Target="https://www.instagram.com/reel/DYdgvDUqfLH/?igsh=a2lmajh3em1sdWN2" TargetMode="External"/><Relationship Id="rId66" Type="http://schemas.openxmlformats.org/officeDocument/2006/relationships/hyperlink" Target="https://www.tiktok.com/@therealnomikang" TargetMode="External"/><Relationship Id="rId87" Type="http://schemas.openxmlformats.org/officeDocument/2006/relationships/hyperlink" Target="https://www.instagram.com/reel/DYCskwQvwdz/" TargetMode="External"/><Relationship Id="rId61" Type="http://schemas.openxmlformats.org/officeDocument/2006/relationships/hyperlink" Target="https://vt.tiktok.com/ZSHG5PS8c/" TargetMode="External"/><Relationship Id="rId82" Type="http://schemas.openxmlformats.org/officeDocument/2006/relationships/hyperlink" Target="https://vm.tiktok.com/ZNRgNm7wT/" TargetMode="External"/><Relationship Id="rId19" Type="http://schemas.openxmlformats.org/officeDocument/2006/relationships/hyperlink" Target="https://www.instagram.com/reel/DWwCgwqEZZW/?igsh=Z242b293ZjNndWZy" TargetMode="External"/><Relationship Id="rId14" Type="http://schemas.openxmlformats.org/officeDocument/2006/relationships/hyperlink" Target="https://www.instagram.com/deborahinkorea_/" TargetMode="External"/><Relationship Id="rId30" Type="http://schemas.openxmlformats.org/officeDocument/2006/relationships/hyperlink" Target="https://www.instagram.com/melissalimes/" TargetMode="External"/><Relationship Id="rId35" Type="http://schemas.openxmlformats.org/officeDocument/2006/relationships/hyperlink" Target="https://www.tiktok.com/@itsanaolivas/video/7635960715538337042?_r=1&amp;_t=ZS-95wBNlnzXOs" TargetMode="External"/><Relationship Id="rId56" Type="http://schemas.openxmlformats.org/officeDocument/2006/relationships/hyperlink" Target="https://www.tiktok.com/@anna2581" TargetMode="External"/><Relationship Id="rId77" Type="http://schemas.openxmlformats.org/officeDocument/2006/relationships/hyperlink" Target="https://www.instagram.com/chelsieyoo_/reels/" TargetMode="External"/><Relationship Id="rId100" Type="http://schemas.openxmlformats.org/officeDocument/2006/relationships/hyperlink" Target="https://www.instagram.com/reel/DYvfkeBSV7P/" TargetMode="External"/><Relationship Id="rId105" Type="http://schemas.openxmlformats.org/officeDocument/2006/relationships/table" Target="../tables/table25.xml"/><Relationship Id="rId8" Type="http://schemas.openxmlformats.org/officeDocument/2006/relationships/hyperlink" Target="https://www.instagram.com/sofiaalopesc/reels/" TargetMode="External"/><Relationship Id="rId51" Type="http://schemas.openxmlformats.org/officeDocument/2006/relationships/hyperlink" Target="https://www.instagram.com/reel/DXMafFACg7J/?igsh=b2dzejFpc250NWh2" TargetMode="External"/><Relationship Id="rId72" Type="http://schemas.openxmlformats.org/officeDocument/2006/relationships/hyperlink" Target="https://www.tiktok.com/@.joan__?_t=ZS-8wUeIBpusyX&amp;_r=1" TargetMode="External"/><Relationship Id="rId93" Type="http://schemas.openxmlformats.org/officeDocument/2006/relationships/hyperlink" Target="https://www.instagram.com/belinda.fashionista?igsh=eDM3dGttNTZlOW0w&amp;utm_source=qr" TargetMode="External"/><Relationship Id="rId98" Type="http://schemas.openxmlformats.org/officeDocument/2006/relationships/hyperlink" Target="https://www.tiktok.com/@seoulissa/video/7641275750527618325?fbclid=PAZXh0bgNhZW0CMTEAc3J0YwZhcHBfaWQPOTM2NjE5NzQzMzkyNDU5AAGnsuya0zdcLMsgUBuoKbN0d0yTuup9MYFD_zvvWCf_oIsI3XgfTypBCynexls_aem_8gBn81QfU5QX00kl1MW4Bg" TargetMode="External"/><Relationship Id="rId3" Type="http://schemas.openxmlformats.org/officeDocument/2006/relationships/hyperlink" Target="https://www.tiktok.com/@travelikediva" TargetMode="External"/><Relationship Id="rId25" Type="http://schemas.openxmlformats.org/officeDocument/2006/relationships/hyperlink" Target="https://www.instagram.com/6ihal" TargetMode="External"/><Relationship Id="rId46" Type="http://schemas.openxmlformats.org/officeDocument/2006/relationships/hyperlink" Target="https://www.tiktok.com/@victoriarenblad?_r=1&amp;_t=ZN-95yxwAN8Eze" TargetMode="External"/><Relationship Id="rId67" Type="http://schemas.openxmlformats.org/officeDocument/2006/relationships/hyperlink" Target="https://www.instagram.com/therealnomikang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vt.tiktok.com/ZSxymnLQ8/" TargetMode="External"/><Relationship Id="rId299" Type="http://schemas.openxmlformats.org/officeDocument/2006/relationships/hyperlink" Target="https://www.instagram.com/sakino.f/reels/" TargetMode="External"/><Relationship Id="rId21" Type="http://schemas.openxmlformats.org/officeDocument/2006/relationships/hyperlink" Target="https://www.tiktok.com/@ziekelijk" TargetMode="External"/><Relationship Id="rId63" Type="http://schemas.openxmlformats.org/officeDocument/2006/relationships/hyperlink" Target="https://www.tiktok.com/@chelsieyoo?_r=1&amp;_t=ZS-94vHn3iFxQe" TargetMode="External"/><Relationship Id="rId159" Type="http://schemas.openxmlformats.org/officeDocument/2006/relationships/hyperlink" Target="https://www.instagram.com/natsu.beautyandhealth/" TargetMode="External"/><Relationship Id="rId324" Type="http://schemas.openxmlformats.org/officeDocument/2006/relationships/hyperlink" Target="https://www.instagram.com/mua.naho/" TargetMode="External"/><Relationship Id="rId366" Type="http://schemas.openxmlformats.org/officeDocument/2006/relationships/hyperlink" Target="https://x.com/alxamy_red/status/2058874526302458274?s=46" TargetMode="External"/><Relationship Id="rId170" Type="http://schemas.openxmlformats.org/officeDocument/2006/relationships/hyperlink" Target="https://x.com/udoari_iii/status/2055984736510812540?s=20" TargetMode="External"/><Relationship Id="rId226" Type="http://schemas.openxmlformats.org/officeDocument/2006/relationships/hyperlink" Target="https://www.tiktok.com/@chika01297" TargetMode="External"/><Relationship Id="rId268" Type="http://schemas.openxmlformats.org/officeDocument/2006/relationships/hyperlink" Target="https://www.instagram.com/solaris_cosme" TargetMode="External"/><Relationship Id="rId32" Type="http://schemas.openxmlformats.org/officeDocument/2006/relationships/hyperlink" Target="https://www.tiktok.com/@renderella4real/video/7636033162614721799?_r=1&amp;_t=ZS-95v2oBbBnoS" TargetMode="External"/><Relationship Id="rId74" Type="http://schemas.openxmlformats.org/officeDocument/2006/relationships/hyperlink" Target="https://www.tiktok.com/@irisoyeon_?_r=1&amp;_t=ZS-95ty8mvQ94u" TargetMode="External"/><Relationship Id="rId128" Type="http://schemas.openxmlformats.org/officeDocument/2006/relationships/hyperlink" Target="https://www.instagram.com/snzhitn04?igsh=MTRlY285Y2Q2enl3NA%3D%3D&amp;utm_source=qr" TargetMode="External"/><Relationship Id="rId335" Type="http://schemas.openxmlformats.org/officeDocument/2006/relationships/hyperlink" Target="https://instagram.com/shishimaru383838?igshid=OGQ5ZDc2ODk2ZA" TargetMode="External"/><Relationship Id="rId377" Type="http://schemas.openxmlformats.org/officeDocument/2006/relationships/hyperlink" Target="https://lipscosme.com/posts/8712181?_t=zLqY&amp;_r=ze02Pz" TargetMode="External"/><Relationship Id="rId5" Type="http://schemas.openxmlformats.org/officeDocument/2006/relationships/hyperlink" Target="https://www.instagram.com/reel/DWl4iQcCYWo/" TargetMode="External"/><Relationship Id="rId181" Type="http://schemas.openxmlformats.org/officeDocument/2006/relationships/hyperlink" Target="https://www.instagram.com/milange/" TargetMode="External"/><Relationship Id="rId237" Type="http://schemas.openxmlformats.org/officeDocument/2006/relationships/hyperlink" Target="https://www.instagram.com/p/DY3nRIEFGr9/?igsh=MXB3MjB3NjlhaXlzdQ==" TargetMode="External"/><Relationship Id="rId402" Type="http://schemas.openxmlformats.org/officeDocument/2006/relationships/table" Target="../tables/table36.xml"/><Relationship Id="rId279" Type="http://schemas.openxmlformats.org/officeDocument/2006/relationships/hyperlink" Target="https://www.tiktok.com/@ireneemejaresbesi?_t=ZS-8wZueWQYsND&amp;_r=" TargetMode="External"/><Relationship Id="rId43" Type="http://schemas.openxmlformats.org/officeDocument/2006/relationships/hyperlink" Target="https://vt.tiktok.com/ZSHxN1LpT/" TargetMode="External"/><Relationship Id="rId139" Type="http://schemas.openxmlformats.org/officeDocument/2006/relationships/hyperlink" Target="https://x.com/saera_lab/status/2057988179412877741?s=46&amp;t=R0x8NRUCJasxHFkWYBmByQhttps://www.tiktok.com/@saera_beauty/photo/7642883796290768136?_r=1&amp;_t=ZS-96bWbhnADTj" TargetMode="External"/><Relationship Id="rId290" Type="http://schemas.openxmlformats.org/officeDocument/2006/relationships/hyperlink" Target="http://www.tiktok.com/@hanaozi" TargetMode="External"/><Relationship Id="rId304" Type="http://schemas.openxmlformats.org/officeDocument/2006/relationships/hyperlink" Target="https://www.instagram.com/__ramu00?igsh=MXI4Y3VlYjAwNWFlcw%3D%3D&amp;utm_source=qr" TargetMode="External"/><Relationship Id="rId346" Type="http://schemas.openxmlformats.org/officeDocument/2006/relationships/hyperlink" Target="https://www.instagram.com/positivewoman0831?igsh=MW8zYnZ1am1xdnZmNw%3D%3D&amp;utm_source=qr" TargetMode="External"/><Relationship Id="rId388" Type="http://schemas.openxmlformats.org/officeDocument/2006/relationships/hyperlink" Target="https://www.instagram.com/mirua._.arumi?igsh=MXJxNWw5MWtjMWU0dQ==" TargetMode="External"/><Relationship Id="rId85" Type="http://schemas.openxmlformats.org/officeDocument/2006/relationships/hyperlink" Target="https://www.instagram.com/p/DYYG00VSCXd/" TargetMode="External"/><Relationship Id="rId150" Type="http://schemas.openxmlformats.org/officeDocument/2006/relationships/hyperlink" Target="https://lipscosme.com/posts/8728083?_t=zLqY&amp;_r=2zWQ0P" TargetMode="External"/><Relationship Id="rId192" Type="http://schemas.openxmlformats.org/officeDocument/2006/relationships/hyperlink" Target="https://lipscosme.com/posts/8758878?_t=zLqY&amp;_r=6l4lwa" TargetMode="External"/><Relationship Id="rId206" Type="http://schemas.openxmlformats.org/officeDocument/2006/relationships/hyperlink" Target="https://www.instagram.com/p/DYwYv2SpefL/" TargetMode="External"/><Relationship Id="rId413" Type="http://schemas.openxmlformats.org/officeDocument/2006/relationships/table" Target="../tables/table47.xml"/><Relationship Id="rId248" Type="http://schemas.openxmlformats.org/officeDocument/2006/relationships/hyperlink" Target="https://www.instagram.com/xx_fuuka_xx?igsh=cnF3ZGlhcWFzNjU3&amp;utm_source=qr" TargetMode="External"/><Relationship Id="rId12" Type="http://schemas.openxmlformats.org/officeDocument/2006/relationships/hyperlink" Target="https://www.instagram.com/deborahinkorea_/" TargetMode="External"/><Relationship Id="rId108" Type="http://schemas.openxmlformats.org/officeDocument/2006/relationships/hyperlink" Target="https://www.instagram.com/reel/DYv4Ap0ywtD/?igsh=MXZrOG4ybmVrcW54dA==" TargetMode="External"/><Relationship Id="rId315" Type="http://schemas.openxmlformats.org/officeDocument/2006/relationships/hyperlink" Target="https://youtube.com/shorts/PIv8XvKJ1mE?si=twNOXX7wBdDDkjct" TargetMode="External"/><Relationship Id="rId357" Type="http://schemas.openxmlformats.org/officeDocument/2006/relationships/hyperlink" Target="https://x.com/marmarumaruu/status/2058899043376562617?s=46&amp;t=OxhTQbe190vk1kDE-7hPZA" TargetMode="External"/><Relationship Id="rId54" Type="http://schemas.openxmlformats.org/officeDocument/2006/relationships/hyperlink" Target="https://www.instagram.com/therealnomikang" TargetMode="External"/><Relationship Id="rId96" Type="http://schemas.openxmlformats.org/officeDocument/2006/relationships/hyperlink" Target="https://www.tiktok.com/@peco_pooh/video/7645270217718893844" TargetMode="External"/><Relationship Id="rId161" Type="http://schemas.openxmlformats.org/officeDocument/2006/relationships/hyperlink" Target="https://www.instagram.com/p/DY17X5fmbSd/?img_index=1" TargetMode="External"/><Relationship Id="rId217" Type="http://schemas.openxmlformats.org/officeDocument/2006/relationships/hyperlink" Target="https://www.instagram.com/mainoinstadesu?igsh=Zmp0bWhlcGd5bWp6&amp;utm_source=qr" TargetMode="External"/><Relationship Id="rId399" Type="http://schemas.openxmlformats.org/officeDocument/2006/relationships/table" Target="../tables/table33.xml"/><Relationship Id="rId259" Type="http://schemas.openxmlformats.org/officeDocument/2006/relationships/hyperlink" Target="https://instagram.com/p/DYmCw_kupZ1/?utm_source=qr" TargetMode="External"/><Relationship Id="rId23" Type="http://schemas.openxmlformats.org/officeDocument/2006/relationships/hyperlink" Target="https://vm.tiktok.com/ZGdu3LS6J/" TargetMode="External"/><Relationship Id="rId119" Type="http://schemas.openxmlformats.org/officeDocument/2006/relationships/hyperlink" Target="https://www.instagram.com/sawamii25?igsh=bXJqcnI3ajFlMWI0&amp;utm_source=qr" TargetMode="External"/><Relationship Id="rId270" Type="http://schemas.openxmlformats.org/officeDocument/2006/relationships/hyperlink" Target="https://www.tiktok.com/@aiueousama_01?_r=1&amp;_t=ZS-95kR5zCNNdI" TargetMode="External"/><Relationship Id="rId326" Type="http://schemas.openxmlformats.org/officeDocument/2006/relationships/hyperlink" Target="https://www.instagram.com/yuuri.golf?igsh=MW5naWRjeTN6N21nMQ%3D%3D&amp;utm_source=qr" TargetMode="External"/><Relationship Id="rId65" Type="http://schemas.openxmlformats.org/officeDocument/2006/relationships/hyperlink" Target="https://www.tiktok.com/@chelsieyoo/video/7630037270581628167?_r=1&amp;_t=ZS-94vHn3iFxQe" TargetMode="External"/><Relationship Id="rId130" Type="http://schemas.openxmlformats.org/officeDocument/2006/relationships/hyperlink" Target="https://www.instagram.com/biyou.cosme.beautiful?igshid=OGQ5ZDc2ODk2ZA%3D%3D&amp;utm_source=qr" TargetMode="External"/><Relationship Id="rId368" Type="http://schemas.openxmlformats.org/officeDocument/2006/relationships/hyperlink" Target="https://www.instagram.com/reel/DYzAOAVPNyz/?igsh=aWExMjBvb280NXk0" TargetMode="External"/><Relationship Id="rId172" Type="http://schemas.openxmlformats.org/officeDocument/2006/relationships/hyperlink" Target="https://www.instagram.com/kiyoko91110/" TargetMode="External"/><Relationship Id="rId228" Type="http://schemas.openxmlformats.org/officeDocument/2006/relationships/hyperlink" Target="https://www.instagram.com/reel/DY4M4jTp1bf/?igsh=MWRjcmFlbG45d3U3ZA==" TargetMode="External"/><Relationship Id="rId281" Type="http://schemas.openxmlformats.org/officeDocument/2006/relationships/hyperlink" Target="https://www.tiktok.com/@apsanarayamajhi?_r=1&amp;_t=ZS-95w1LSJ64FU" TargetMode="External"/><Relationship Id="rId337" Type="http://schemas.openxmlformats.org/officeDocument/2006/relationships/hyperlink" Target="https://www.instagram.com/p/DY43rokj9kj/?igsh=c2VkaXg5NHFvNmdp" TargetMode="External"/><Relationship Id="rId34" Type="http://schemas.openxmlformats.org/officeDocument/2006/relationships/hyperlink" Target="https://www.instagram.com/hw26_hw" TargetMode="External"/><Relationship Id="rId76" Type="http://schemas.openxmlformats.org/officeDocument/2006/relationships/hyperlink" Target="https://www.tiktok.com/@belinda.fashionista?_r=1&amp;_t=ZN-95u9XMmjpyg" TargetMode="External"/><Relationship Id="rId141" Type="http://schemas.openxmlformats.org/officeDocument/2006/relationships/hyperlink" Target="https://www.instagram.com/miyako_cosmetic10?igsh=YXdkYmFmdzhhZDJr&amp;utm_source=qr" TargetMode="External"/><Relationship Id="rId379" Type="http://schemas.openxmlformats.org/officeDocument/2006/relationships/hyperlink" Target="https://www.instagram.com/miru_cosme_?igsh=MWxtMXhhenh0dzEycA%3D%3D&amp;utm_source=qr" TargetMode="External"/><Relationship Id="rId7" Type="http://schemas.openxmlformats.org/officeDocument/2006/relationships/hyperlink" Target="https://vt.tiktok.com/ZGdutFXkr/" TargetMode="External"/><Relationship Id="rId183" Type="http://schemas.openxmlformats.org/officeDocument/2006/relationships/hyperlink" Target="https://www.instagram.com/mirua._.arumi?igsh=MXJxNWw5MWtjMWU0dQ==" TargetMode="External"/><Relationship Id="rId239" Type="http://schemas.openxmlformats.org/officeDocument/2006/relationships/hyperlink" Target="https://www.instagram.com/moon_happy_yuu?igsh=MXNqeWV0ZzVtMGdyMQ%3D%3D&amp;utm_source=qr" TargetMode="External"/><Relationship Id="rId390" Type="http://schemas.openxmlformats.org/officeDocument/2006/relationships/hyperlink" Target="https://www.instagram.com/color_cosme_diary/" TargetMode="External"/><Relationship Id="rId404" Type="http://schemas.openxmlformats.org/officeDocument/2006/relationships/table" Target="../tables/table38.xml"/><Relationship Id="rId250" Type="http://schemas.openxmlformats.org/officeDocument/2006/relationships/hyperlink" Target="http://www.tiktok.com/@_199012_" TargetMode="External"/><Relationship Id="rId292" Type="http://schemas.openxmlformats.org/officeDocument/2006/relationships/hyperlink" Target="https://x.com/mi_p_etal/status/2058503349901869425?s=46&amp;t=wbfMmNvSj_ohx1b-Uw_Wdg" TargetMode="External"/><Relationship Id="rId306" Type="http://schemas.openxmlformats.org/officeDocument/2006/relationships/hyperlink" Target="https://www.instagram.com/naa__cosmetic66?igsh=MXNsemRnMG9od2p5Yw%3D%3D&amp;utm_source=qr" TargetMode="External"/><Relationship Id="rId45" Type="http://schemas.openxmlformats.org/officeDocument/2006/relationships/hyperlink" Target="https://www.instagram.com/anyaklyackaya?igsh=MXhtNDU5YzQ4ZWx2Yg%3D%3D&amp;utm_source=qr" TargetMode="External"/><Relationship Id="rId87" Type="http://schemas.openxmlformats.org/officeDocument/2006/relationships/hyperlink" Target="https://www.instagram.com/reels/DYnaiUZTn04/" TargetMode="External"/><Relationship Id="rId110" Type="http://schemas.openxmlformats.org/officeDocument/2006/relationships/hyperlink" Target="https://www.instagram.com/kako_suv?igsh=ZG53NW1tdDR5Y3hq" TargetMode="External"/><Relationship Id="rId348" Type="http://schemas.openxmlformats.org/officeDocument/2006/relationships/hyperlink" Target="https://www.instagram.com/yangmi_219?igsh=MTdzNjFmOXp3anZxbQ%3D%3D&amp;utm_source=qr" TargetMode="External"/><Relationship Id="rId152" Type="http://schemas.openxmlformats.org/officeDocument/2006/relationships/hyperlink" Target="https://x.com/kusumi_summer/status/2057795011509698802/photo/1" TargetMode="External"/><Relationship Id="rId194" Type="http://schemas.openxmlformats.org/officeDocument/2006/relationships/hyperlink" Target="https://www.instagram.com/amit_.1211" TargetMode="External"/><Relationship Id="rId208" Type="http://schemas.openxmlformats.org/officeDocument/2006/relationships/hyperlink" Target="https://lipscosme.com/posts/8731034" TargetMode="External"/><Relationship Id="rId415" Type="http://schemas.openxmlformats.org/officeDocument/2006/relationships/table" Target="../tables/table49.xml"/><Relationship Id="rId261" Type="http://schemas.openxmlformats.org/officeDocument/2006/relationships/hyperlink" Target="https://www.cosme.net/reviews/516906683" TargetMode="External"/><Relationship Id="rId14" Type="http://schemas.openxmlformats.org/officeDocument/2006/relationships/hyperlink" Target="https://www.instagram.com/creator_mdd?igsh=MTNzOWxxODFuZTd6eQ%3D%3D&amp;utm_source=qr" TargetMode="External"/><Relationship Id="rId56" Type="http://schemas.openxmlformats.org/officeDocument/2006/relationships/hyperlink" Target="https://www.instagram.com/reel/DXMQf4Ekr52/?igsh=bzM0YTZzbmVidXI1" TargetMode="External"/><Relationship Id="rId317" Type="http://schemas.openxmlformats.org/officeDocument/2006/relationships/hyperlink" Target="https://www.instagram.com/asamikodera/" TargetMode="External"/><Relationship Id="rId359" Type="http://schemas.openxmlformats.org/officeDocument/2006/relationships/hyperlink" Target="https://lipscosme.com/posts/8732617?_t=zLqY&amp;_r=P75d3Z" TargetMode="External"/><Relationship Id="rId98" Type="http://schemas.openxmlformats.org/officeDocument/2006/relationships/hyperlink" Target="https://www.instagram.com/kuma_fam_love/" TargetMode="External"/><Relationship Id="rId121" Type="http://schemas.openxmlformats.org/officeDocument/2006/relationships/hyperlink" Target="https://www.instagram.com/reel/DYd3DaMRcAk/?igsh=MWJ6MTFsYWcyazE5Ng==" TargetMode="External"/><Relationship Id="rId163" Type="http://schemas.openxmlformats.org/officeDocument/2006/relationships/hyperlink" Target="https://www.instagram.com/reel/DYjtrR3SFDA/?igsh=MXBqY3ZlamN5bHBhNw==" TargetMode="External"/><Relationship Id="rId219" Type="http://schemas.openxmlformats.org/officeDocument/2006/relationships/hyperlink" Target="https://www.instagram.com/p/DYryFkMGmf2/?igsh=bWI5eTd3YnZheGRo" TargetMode="External"/><Relationship Id="rId370" Type="http://schemas.openxmlformats.org/officeDocument/2006/relationships/hyperlink" Target="https://www.instagram.com/reel/DZHPUMABBl_/?igsh=MXRlaG1nYnlic29wNw==" TargetMode="External"/><Relationship Id="rId230" Type="http://schemas.openxmlformats.org/officeDocument/2006/relationships/hyperlink" Target="https://www.instagram.com/p/DZFPqzbGH1I/?igsh=YXUyZjExaXNsem13" TargetMode="External"/><Relationship Id="rId25" Type="http://schemas.openxmlformats.org/officeDocument/2006/relationships/hyperlink" Target="https://www.tiktok.com/@koreabygrace/video/7633404521720352018" TargetMode="External"/><Relationship Id="rId67" Type="http://schemas.openxmlformats.org/officeDocument/2006/relationships/hyperlink" Target="https://www.tiktok.com/@glowymarika" TargetMode="External"/><Relationship Id="rId272" Type="http://schemas.openxmlformats.org/officeDocument/2006/relationships/hyperlink" Target="https://x.com/bf__1524/status/2055053372865249430?s=46&amp;t=QjCeDsmMqPGK71UCJVThXg" TargetMode="External"/><Relationship Id="rId328" Type="http://schemas.openxmlformats.org/officeDocument/2006/relationships/hyperlink" Target="https://www.instagram.com/sa_tin37/" TargetMode="External"/><Relationship Id="rId132" Type="http://schemas.openxmlformats.org/officeDocument/2006/relationships/hyperlink" Target="https://www.instagram.com/usuhada_skinlog?igsh=cTQ3Z25ycnRmZjR3&amp;utm_source=qr" TargetMode="External"/><Relationship Id="rId174" Type="http://schemas.openxmlformats.org/officeDocument/2006/relationships/hyperlink" Target="https://www.tiktok.com/@amipyn.223?_r=1&amp;_t=ZS-95h8YBcZF1o" TargetMode="External"/><Relationship Id="rId381" Type="http://schemas.openxmlformats.org/officeDocument/2006/relationships/hyperlink" Target="https://x.com/3way_2way/status/2060349426301010305?s=46" TargetMode="External"/><Relationship Id="rId241" Type="http://schemas.openxmlformats.org/officeDocument/2006/relationships/hyperlink" Target="https://www.instagram.com/chan_es123?igsh=anU1MjV6Nm9vOXk1&amp;utm_source=qr" TargetMode="External"/><Relationship Id="rId36" Type="http://schemas.openxmlformats.org/officeDocument/2006/relationships/hyperlink" Target="https://www.tiktok.com/@jesskincare96?_r=1&amp;_t=ZS-95vcyZpvFFl" TargetMode="External"/><Relationship Id="rId283" Type="http://schemas.openxmlformats.org/officeDocument/2006/relationships/hyperlink" Target="https://www.instagram.com/reel/DYt2L4vhBPh/?igsh=cDZydHM2Z3I5OHV1" TargetMode="External"/><Relationship Id="rId339" Type="http://schemas.openxmlformats.org/officeDocument/2006/relationships/hyperlink" Target="https://www.instagram.com/catea997?igsh=MXNycnIxNWh4bG5jeA==" TargetMode="External"/><Relationship Id="rId78" Type="http://schemas.openxmlformats.org/officeDocument/2006/relationships/hyperlink" Target="https://www.tiktok.com/seoulissa" TargetMode="External"/><Relationship Id="rId101" Type="http://schemas.openxmlformats.org/officeDocument/2006/relationships/hyperlink" Target="https://x.com/somi8814/status/2059851458510819620?s=46" TargetMode="External"/><Relationship Id="rId143" Type="http://schemas.openxmlformats.org/officeDocument/2006/relationships/hyperlink" Target="https://www.instagram.com/shinorin_win/" TargetMode="External"/><Relationship Id="rId185" Type="http://schemas.openxmlformats.org/officeDocument/2006/relationships/hyperlink" Target="https://youtube.com/shorts/fXV_ild2NJs?si=2tr2ChSp2stv4Tux" TargetMode="External"/><Relationship Id="rId350" Type="http://schemas.openxmlformats.org/officeDocument/2006/relationships/hyperlink" Target="https://www.instagram.com/luveverjp?igsh=azVhNDNoZmZ3b2c3&amp;utm_source=qr" TargetMode="External"/><Relationship Id="rId406" Type="http://schemas.openxmlformats.org/officeDocument/2006/relationships/table" Target="../tables/table40.xml"/><Relationship Id="rId9" Type="http://schemas.openxmlformats.org/officeDocument/2006/relationships/hyperlink" Target="https://www.tiktok.com/@oreo..leo" TargetMode="External"/><Relationship Id="rId210" Type="http://schemas.openxmlformats.org/officeDocument/2006/relationships/hyperlink" Target="https://www.instagram.com/conya_reika" TargetMode="External"/><Relationship Id="rId392" Type="http://schemas.openxmlformats.org/officeDocument/2006/relationships/hyperlink" Target="https://www.instagram.com/yuki_moni12/" TargetMode="External"/><Relationship Id="rId252" Type="http://schemas.openxmlformats.org/officeDocument/2006/relationships/hyperlink" Target="https://www.instagram.com/mipopo.insta?igsh=bXlpZmt4eHJybGM5&amp;utm_source=qr" TargetMode="External"/><Relationship Id="rId294" Type="http://schemas.openxmlformats.org/officeDocument/2006/relationships/hyperlink" Target="https://www.instagram.com/yuriru_kcosme?igsh=MnNyOGk1dWlteGZv" TargetMode="External"/><Relationship Id="rId308" Type="http://schemas.openxmlformats.org/officeDocument/2006/relationships/hyperlink" Target="https://x.com/arineluv_v/status/2058185791449547122?s=46&amp;t=pokphD4_-A_i5rvuDlWt9w" TargetMode="External"/><Relationship Id="rId47" Type="http://schemas.openxmlformats.org/officeDocument/2006/relationships/hyperlink" Target="https://www.instagram.com/reel/DW9CPOZE7EY/" TargetMode="External"/><Relationship Id="rId89" Type="http://schemas.openxmlformats.org/officeDocument/2006/relationships/hyperlink" Target="https://www.instagram.com/reels/DYmOXeqhGU1/" TargetMode="External"/><Relationship Id="rId112" Type="http://schemas.openxmlformats.org/officeDocument/2006/relationships/hyperlink" Target="https://www.instagram.com/beauty_o_44/" TargetMode="External"/><Relationship Id="rId154" Type="http://schemas.openxmlformats.org/officeDocument/2006/relationships/hyperlink" Target="https://lipscosme.com/posts/8722759" TargetMode="External"/><Relationship Id="rId361" Type="http://schemas.openxmlformats.org/officeDocument/2006/relationships/hyperlink" Target="https://www.instagram.com/hittan08/" TargetMode="External"/><Relationship Id="rId196" Type="http://schemas.openxmlformats.org/officeDocument/2006/relationships/hyperlink" Target="https://www.instagram.com/risa05130523?igsh=MXE4OXVzejlhdHBpag%3D%3D&amp;utm_source=qr" TargetMode="External"/><Relationship Id="rId417" Type="http://schemas.openxmlformats.org/officeDocument/2006/relationships/table" Target="../tables/table51.xml"/><Relationship Id="rId16" Type="http://schemas.openxmlformats.org/officeDocument/2006/relationships/hyperlink" Target="https://www.instagram.com/reel/DWwCgwqEZZW/?igsh=Z242b293ZjNndWZy" TargetMode="External"/><Relationship Id="rId221" Type="http://schemas.openxmlformats.org/officeDocument/2006/relationships/hyperlink" Target="https://lipscosme.com/posts/8757882?_t=zLqY&amp;_r=mGW648" TargetMode="External"/><Relationship Id="rId263" Type="http://schemas.openxmlformats.org/officeDocument/2006/relationships/hyperlink" Target="https://lite.tiktok.com/t/ZSjKGbU7k/" TargetMode="External"/><Relationship Id="rId319" Type="http://schemas.openxmlformats.org/officeDocument/2006/relationships/hyperlink" Target="https://www.instagram.com/reel/DZALaE1zegO/?igsh=MTUycWVnZzMybTlmZQ==" TargetMode="External"/><Relationship Id="rId58" Type="http://schemas.openxmlformats.org/officeDocument/2006/relationships/hyperlink" Target="https://www.tiktok.com/@bygiannalee/video/7628671526413356308" TargetMode="External"/><Relationship Id="rId123" Type="http://schemas.openxmlformats.org/officeDocument/2006/relationships/hyperlink" Target="https://www.instagram.com/reel/DYwfT4zy5rq/?utm_source=ig_web_copy_link&amp;igsh=MzRlODBiNWFlZA==" TargetMode="External"/><Relationship Id="rId330" Type="http://schemas.openxmlformats.org/officeDocument/2006/relationships/hyperlink" Target="https://lipscosme.com/posts/8726517?_t=zLqY&amp;_r=k2G83" TargetMode="External"/><Relationship Id="rId165" Type="http://schemas.openxmlformats.org/officeDocument/2006/relationships/hyperlink" Target="https://www.tiktok.com/@ki_chan05" TargetMode="External"/><Relationship Id="rId372" Type="http://schemas.openxmlformats.org/officeDocument/2006/relationships/hyperlink" Target="https://x.com/shiro_cosme/status/2058149160696893795?s=20" TargetMode="External"/><Relationship Id="rId232" Type="http://schemas.openxmlformats.org/officeDocument/2006/relationships/hyperlink" Target="https://www.instagram.com/gs.yu_na7" TargetMode="External"/><Relationship Id="rId274" Type="http://schemas.openxmlformats.org/officeDocument/2006/relationships/hyperlink" Target="https://www.tiktok.com/@hairmakemidori?_t=8gy9zRlHXVq&amp;_r=1" TargetMode="External"/><Relationship Id="rId27" Type="http://schemas.openxmlformats.org/officeDocument/2006/relationships/hyperlink" Target="https://www.tiktok.com/@itsanaolivas?_r=1&amp;_t=ZS-95wBNlnzXOs" TargetMode="External"/><Relationship Id="rId69" Type="http://schemas.openxmlformats.org/officeDocument/2006/relationships/hyperlink" Target="https://www.instagram.com/reel/DXructADTA1/?igsh=bjJ0amVtN3dud2xm" TargetMode="External"/><Relationship Id="rId134" Type="http://schemas.openxmlformats.org/officeDocument/2006/relationships/hyperlink" Target="https://www.instagram.com/bakm_86?igsh=N3h6OWgzdHB0ZTU2&amp;utm_source=qr" TargetMode="External"/><Relationship Id="rId80" Type="http://schemas.openxmlformats.org/officeDocument/2006/relationships/hyperlink" Target="https://www.instagram.com/angoon_3659?igsh=b205cXAwdGJrdmxr&amp;utm_source=qr" TargetMode="External"/><Relationship Id="rId176" Type="http://schemas.openxmlformats.org/officeDocument/2006/relationships/hyperlink" Target="https://lipscosme.com/posts/8729639?_t=zLqY&amp;_r=3ypGO3" TargetMode="External"/><Relationship Id="rId341" Type="http://schemas.openxmlformats.org/officeDocument/2006/relationships/hyperlink" Target="https://www.instagram.com/p/DYbgfDQkVuK/?igsh=aWx6enk2Z2ljejNh" TargetMode="External"/><Relationship Id="rId383" Type="http://schemas.openxmlformats.org/officeDocument/2006/relationships/hyperlink" Target="https://x.com/3nchu_/status/2061392116799205423?s=46&amp;t=Z0mFWweIRC_v8B40KrwNGw" TargetMode="External"/><Relationship Id="rId201" Type="http://schemas.openxmlformats.org/officeDocument/2006/relationships/hyperlink" Target="https://instagram.com/jammmmmmmmmmie5?igshid=YmMyMTA2M2Y=" TargetMode="External"/><Relationship Id="rId222" Type="http://schemas.openxmlformats.org/officeDocument/2006/relationships/hyperlink" Target="https://www.instagram.com/p/DYj4q7VE3Wd/?igsh=MW9qazhyN2s5ejF1Yg==" TargetMode="External"/><Relationship Id="rId243" Type="http://schemas.openxmlformats.org/officeDocument/2006/relationships/hyperlink" Target="https://www.instagram.com/yuki_moni12/" TargetMode="External"/><Relationship Id="rId264" Type="http://schemas.openxmlformats.org/officeDocument/2006/relationships/hyperlink" Target="https://www.instagram.com/fumiron1012" TargetMode="External"/><Relationship Id="rId285" Type="http://schemas.openxmlformats.org/officeDocument/2006/relationships/hyperlink" Target="https://www.instagram.com/tir.acle?igsh=ZXR5N3JmbGQyYjd1" TargetMode="External"/><Relationship Id="rId17" Type="http://schemas.openxmlformats.org/officeDocument/2006/relationships/hyperlink" Target="https://www.tiktok.com/@verael_121" TargetMode="External"/><Relationship Id="rId38" Type="http://schemas.openxmlformats.org/officeDocument/2006/relationships/hyperlink" Target="https://www.instagram.com/mariamoutro" TargetMode="External"/><Relationship Id="rId59" Type="http://schemas.openxmlformats.org/officeDocument/2006/relationships/hyperlink" Target="https://www.tiktok.com/@.joan__?_t=ZS-8wUeIBpusyX&amp;_r=1" TargetMode="External"/><Relationship Id="rId103" Type="http://schemas.openxmlformats.org/officeDocument/2006/relationships/hyperlink" Target="https://www.instagram.com/reels/DZFPPlJs0zh/" TargetMode="External"/><Relationship Id="rId124" Type="http://schemas.openxmlformats.org/officeDocument/2006/relationships/hyperlink" Target="https://www.tiktok.com/@newbieppp?_t=ZS-8sYoVDUZltU&amp;_r=1" TargetMode="External"/><Relationship Id="rId310" Type="http://schemas.openxmlformats.org/officeDocument/2006/relationships/hyperlink" Target="https://www.instagram.com/maimainoinsta" TargetMode="External"/><Relationship Id="rId70" Type="http://schemas.openxmlformats.org/officeDocument/2006/relationships/hyperlink" Target="https://www.tiktok.com/@child_of_abraxas?_r=1&amp;_t=ZS-95uFnqNZwVJ" TargetMode="External"/><Relationship Id="rId91" Type="http://schemas.openxmlformats.org/officeDocument/2006/relationships/hyperlink" Target="https://www.tiktok.com/@i8rn3_/video/7645317738080079124" TargetMode="External"/><Relationship Id="rId145" Type="http://schemas.openxmlformats.org/officeDocument/2006/relationships/hyperlink" Target="https://www.instagram.com/suki.cosme?igsh=MXdqNTQzamN0ZTNrMQ%3D%3D&amp;utm_source=qr" TargetMode="External"/><Relationship Id="rId166" Type="http://schemas.openxmlformats.org/officeDocument/2006/relationships/hyperlink" Target="https://www.instagram.com/pi_aria/" TargetMode="External"/><Relationship Id="rId187" Type="http://schemas.openxmlformats.org/officeDocument/2006/relationships/hyperlink" Target="https://www.instagram.com/gmnn634?igsh=MXQ5M255YWl6dmZpZw%3D%3D&amp;utm_source=qr" TargetMode="External"/><Relationship Id="rId331" Type="http://schemas.openxmlformats.org/officeDocument/2006/relationships/hyperlink" Target="https://www.instagram.com/p/DYttp-2gUed/?igsh=MjR5c3Q3Y3R1a3J4" TargetMode="External"/><Relationship Id="rId352" Type="http://schemas.openxmlformats.org/officeDocument/2006/relationships/hyperlink" Target="https://www.instagram.com/____nemumi____/" TargetMode="External"/><Relationship Id="rId373" Type="http://schemas.openxmlformats.org/officeDocument/2006/relationships/hyperlink" Target="https://www.instagram.com/p/DYrfXbxlLlW/?img_index=1" TargetMode="External"/><Relationship Id="rId394" Type="http://schemas.openxmlformats.org/officeDocument/2006/relationships/table" Target="../tables/table28.xml"/><Relationship Id="rId408" Type="http://schemas.openxmlformats.org/officeDocument/2006/relationships/table" Target="../tables/table42.xml"/><Relationship Id="rId1" Type="http://schemas.openxmlformats.org/officeDocument/2006/relationships/hyperlink" Target="https://www.tiktok.com/@.heeeelen?_r=1&amp;_t=ZN-94uzOxkvaUA" TargetMode="External"/><Relationship Id="rId212" Type="http://schemas.openxmlformats.org/officeDocument/2006/relationships/hyperlink" Target="https://instagram.com/_.glowwithin._" TargetMode="External"/><Relationship Id="rId233" Type="http://schemas.openxmlformats.org/officeDocument/2006/relationships/hyperlink" Target="https://www.instagram.com/aririn0675" TargetMode="External"/><Relationship Id="rId254" Type="http://schemas.openxmlformats.org/officeDocument/2006/relationships/hyperlink" Target="https://www.tiktok.com/@grn_bt" TargetMode="External"/><Relationship Id="rId28" Type="http://schemas.openxmlformats.org/officeDocument/2006/relationships/hyperlink" Target="https://www.instagram.com/itsanaolivas/" TargetMode="External"/><Relationship Id="rId49" Type="http://schemas.openxmlformats.org/officeDocument/2006/relationships/hyperlink" Target="https://vt.tiktok.com/ZSHG5PS8c/" TargetMode="External"/><Relationship Id="rId114" Type="http://schemas.openxmlformats.org/officeDocument/2006/relationships/hyperlink" Target="https://www.instagram.com/petit.lovelove?igsh=MTBpOThoMW5idmpzbA%3D%3D&amp;utm_source=qr" TargetMode="External"/><Relationship Id="rId275" Type="http://schemas.openxmlformats.org/officeDocument/2006/relationships/hyperlink" Target="https://lipscosme.com/posts/8731698?_t=zLqY&amp;_r=D8DrGA" TargetMode="External"/><Relationship Id="rId296" Type="http://schemas.openxmlformats.org/officeDocument/2006/relationships/hyperlink" Target="https://www.tiktok.com/@funyadayo215" TargetMode="External"/><Relationship Id="rId300" Type="http://schemas.openxmlformats.org/officeDocument/2006/relationships/hyperlink" Target="https://www.instagram.com/yuika00802/reels/" TargetMode="External"/><Relationship Id="rId60" Type="http://schemas.openxmlformats.org/officeDocument/2006/relationships/hyperlink" Target="https://www.instagram.com/imjoancultura?igsh=MTkzYTMyaGx0YTJrdQ%3D%3D&amp;utm_source=qr" TargetMode="External"/><Relationship Id="rId81" Type="http://schemas.openxmlformats.org/officeDocument/2006/relationships/hyperlink" Target="https://www.tiktok.com/@churumisama/video/7645595427454160148" TargetMode="External"/><Relationship Id="rId135" Type="http://schemas.openxmlformats.org/officeDocument/2006/relationships/hyperlink" Target="https://www.instagram.com/p/DYuKXoQmhD2/?igsh=MWd2ZmZjbjloaXlwdQ==" TargetMode="External"/><Relationship Id="rId156" Type="http://schemas.openxmlformats.org/officeDocument/2006/relationships/hyperlink" Target="https://www.instagram.com/asarun_asarun?igsh=MWNxcXlxdmhxZGI2&amp;utm_source=qr" TargetMode="External"/><Relationship Id="rId177" Type="http://schemas.openxmlformats.org/officeDocument/2006/relationships/hyperlink" Target="https://www.instagram.com/p/DYwlp0rD268/?igsh=MmZic2owNDJtb3Jo" TargetMode="External"/><Relationship Id="rId198" Type="http://schemas.openxmlformats.org/officeDocument/2006/relationships/hyperlink" Target="https://www.tiktok.com/@rieora" TargetMode="External"/><Relationship Id="rId321" Type="http://schemas.openxmlformats.org/officeDocument/2006/relationships/hyperlink" Target="https://www.instagram.com/p/DYvTIkpE1i3/?igsh=NXY2YTg3emI3MnQ4" TargetMode="External"/><Relationship Id="rId342" Type="http://schemas.openxmlformats.org/officeDocument/2006/relationships/hyperlink" Target="https://www.instagram.com/ryo724__?igsh=dzl6a3hnbXF3Nmlw&amp;utm_source=qr" TargetMode="External"/><Relationship Id="rId363" Type="http://schemas.openxmlformats.org/officeDocument/2006/relationships/hyperlink" Target="https://www.instagram.com/p/DYuNXRjEQvs/?img_index=1&amp;igsh=MWcxazhudnZ1b3Z1Zw==" TargetMode="External"/><Relationship Id="rId384" Type="http://schemas.openxmlformats.org/officeDocument/2006/relationships/hyperlink" Target="https://x.com/moco__cosme/status/2060212895343161413?s=46&amp;t=K6Y-K-3DyhqUHfvhzhUPfg" TargetMode="External"/><Relationship Id="rId419" Type="http://schemas.openxmlformats.org/officeDocument/2006/relationships/table" Target="../tables/table53.xml"/><Relationship Id="rId202" Type="http://schemas.openxmlformats.org/officeDocument/2006/relationships/hyperlink" Target="http://instagram.com/ichinahappy" TargetMode="External"/><Relationship Id="rId223" Type="http://schemas.openxmlformats.org/officeDocument/2006/relationships/hyperlink" Target="https://instagram.com/_._._.s._._._?utm_medium=copy_link" TargetMode="External"/><Relationship Id="rId244" Type="http://schemas.openxmlformats.org/officeDocument/2006/relationships/hyperlink" Target="https://snowmoon.site/23yearsold-dermashin-primer-concealer/" TargetMode="External"/><Relationship Id="rId18" Type="http://schemas.openxmlformats.org/officeDocument/2006/relationships/hyperlink" Target="https://www.instagram.com/verael_121" TargetMode="External"/><Relationship Id="rId39" Type="http://schemas.openxmlformats.org/officeDocument/2006/relationships/hyperlink" Target="https://www.instagram.com/lois_lee_lois_nail?igsh=MWU2bGxjOTRzc3h2Ng%3D%3D&amp;utm_source=qr" TargetMode="External"/><Relationship Id="rId265" Type="http://schemas.openxmlformats.org/officeDocument/2006/relationships/hyperlink" Target="https://x.com/tafumi0212/status/2057956479463014516?s=46&amp;t=UdIJisVmSa0N1s358edexw" TargetMode="External"/><Relationship Id="rId286" Type="http://schemas.openxmlformats.org/officeDocument/2006/relationships/hyperlink" Target="https://www.instagram.com/reel/DYhEt9az9B5/?igsh=cWIyeTl5bjVodnNk" TargetMode="External"/><Relationship Id="rId50" Type="http://schemas.openxmlformats.org/officeDocument/2006/relationships/hyperlink" Target="https://www.tiktok.com/@fine_xoxo?_r=1&amp;_t=ZS-94Gd0cZ94Dt" TargetMode="External"/><Relationship Id="rId104" Type="http://schemas.openxmlformats.org/officeDocument/2006/relationships/hyperlink" Target="https://www.instagram.com/reotam214/" TargetMode="External"/><Relationship Id="rId125" Type="http://schemas.openxmlformats.org/officeDocument/2006/relationships/hyperlink" Target="https://vt.tiktok.com/ZSxHRrxWo/" TargetMode="External"/><Relationship Id="rId146" Type="http://schemas.openxmlformats.org/officeDocument/2006/relationships/hyperlink" Target="https://lipscosme.com/posts/8728111?_t=zLqY&amp;_r=RRxVXb" TargetMode="External"/><Relationship Id="rId167" Type="http://schemas.openxmlformats.org/officeDocument/2006/relationships/hyperlink" Target="https://www.instagram.com/p/DYbBgy8kxVC/?igsh=MXF5cGY4dHQ2ZWpnZw==" TargetMode="External"/><Relationship Id="rId188" Type="http://schemas.openxmlformats.org/officeDocument/2006/relationships/hyperlink" Target="https://www.tiktok.com/@nene__kurumi/photo/7647513038492388616?_r=1&amp;_t=ZS-92rWnybvdbu" TargetMode="External"/><Relationship Id="rId311" Type="http://schemas.openxmlformats.org/officeDocument/2006/relationships/hyperlink" Target="https://www.instagram.com/mmy_18y" TargetMode="External"/><Relationship Id="rId332" Type="http://schemas.openxmlformats.org/officeDocument/2006/relationships/hyperlink" Target="https://www.instagram.com/after_dinner0719/" TargetMode="External"/><Relationship Id="rId353" Type="http://schemas.openxmlformats.org/officeDocument/2006/relationships/hyperlink" Target="https://lipscosme.com/posts/8720670?_t=zLqY&amp;_r=RQlNMb" TargetMode="External"/><Relationship Id="rId374" Type="http://schemas.openxmlformats.org/officeDocument/2006/relationships/hyperlink" Target="https://www.instagram.com/sayona_beauty8?igsh=aWNtZWFvOGoyYXA%3D&amp;utm_source=qr" TargetMode="External"/><Relationship Id="rId395" Type="http://schemas.openxmlformats.org/officeDocument/2006/relationships/table" Target="../tables/table29.xml"/><Relationship Id="rId409" Type="http://schemas.openxmlformats.org/officeDocument/2006/relationships/table" Target="../tables/table43.xml"/><Relationship Id="rId71" Type="http://schemas.openxmlformats.org/officeDocument/2006/relationships/hyperlink" Target="https://www.instagram.com/child_of_abraxos?igsh=MWpkNnZ6bXZid2lhMg%3D%3D&amp;utm_source=qr" TargetMode="External"/><Relationship Id="rId92" Type="http://schemas.openxmlformats.org/officeDocument/2006/relationships/hyperlink" Target="https://www.tiktok.com/@api_chan_tokyo/video/7645253106598546708" TargetMode="External"/><Relationship Id="rId213" Type="http://schemas.openxmlformats.org/officeDocument/2006/relationships/hyperlink" Target="https://instagram.com/mika_4.1?igshid=OGQ5ZDc2ODk2ZA%3D%3D&amp;utm_source=qr" TargetMode="External"/><Relationship Id="rId234" Type="http://schemas.openxmlformats.org/officeDocument/2006/relationships/hyperlink" Target="https://instagram.com/__shiori__11o" TargetMode="External"/><Relationship Id="rId420" Type="http://schemas.openxmlformats.org/officeDocument/2006/relationships/table" Target="../tables/table54.xml"/><Relationship Id="rId2" Type="http://schemas.openxmlformats.org/officeDocument/2006/relationships/hyperlink" Target="https://www.tiktok.com/@.heeeelen/video/7623415364386327830?_r=1&amp;_t=ZN-95A6geVjd1q" TargetMode="External"/><Relationship Id="rId29" Type="http://schemas.openxmlformats.org/officeDocument/2006/relationships/hyperlink" Target="https://www.tiktok.com/@itsanaolivas/video/7635960715538337042?_r=1&amp;_t=ZS-95wBNlnzXOs" TargetMode="External"/><Relationship Id="rId255" Type="http://schemas.openxmlformats.org/officeDocument/2006/relationships/hyperlink" Target="https://www.instagram.com/tmilk1128a?igsh=MWE2ZWwwdjRxZWZrMQ==" TargetMode="External"/><Relationship Id="rId276" Type="http://schemas.openxmlformats.org/officeDocument/2006/relationships/hyperlink" Target="https://www.instagram.com/reel/DYwacaoTa6U/?igsh=dnVmZmtlejFyM3B0" TargetMode="External"/><Relationship Id="rId297" Type="http://schemas.openxmlformats.org/officeDocument/2006/relationships/hyperlink" Target="https://www.instagram.com/reel/DRhTzz0krgl/?igsh=d2Y4eHF2aW44YXdp" TargetMode="External"/><Relationship Id="rId40" Type="http://schemas.openxmlformats.org/officeDocument/2006/relationships/hyperlink" Target="https://vt.tiktok.com/ZSHWoP3W7/" TargetMode="External"/><Relationship Id="rId115" Type="http://schemas.openxmlformats.org/officeDocument/2006/relationships/hyperlink" Target="https://www.instagram.com/yuchan_cosme?igsh=bnlzbGttNWVydjlz&amp;utm_source=qr" TargetMode="External"/><Relationship Id="rId136" Type="http://schemas.openxmlformats.org/officeDocument/2006/relationships/hyperlink" Target="https://www.instagram.com/icgmlk14/" TargetMode="External"/><Relationship Id="rId157" Type="http://schemas.openxmlformats.org/officeDocument/2006/relationships/hyperlink" Target="https://lipscosme.com/posts/8711896?_t=zLqY&amp;_r=YlN1a1" TargetMode="External"/><Relationship Id="rId178" Type="http://schemas.openxmlformats.org/officeDocument/2006/relationships/hyperlink" Target="https://lipscosme.com/posts/8721610?_t=zLqY&amp;_r=JoX0kd" TargetMode="External"/><Relationship Id="rId301" Type="http://schemas.openxmlformats.org/officeDocument/2006/relationships/hyperlink" Target="https://www.instagram.com/kanan_cosme/reels/" TargetMode="External"/><Relationship Id="rId322" Type="http://schemas.openxmlformats.org/officeDocument/2006/relationships/hyperlink" Target="https://www.instagram.com/ntk.watanabe" TargetMode="External"/><Relationship Id="rId343" Type="http://schemas.openxmlformats.org/officeDocument/2006/relationships/hyperlink" Target="https://www.instagram.com/150cm_remi?igsh=aDU2M2MyMGF0eWNn&amp;utm_source=qr" TargetMode="External"/><Relationship Id="rId364" Type="http://schemas.openxmlformats.org/officeDocument/2006/relationships/hyperlink" Target="https://x.com/___nyaaamaa/status/2058859931659620511?s=46&amp;t=xEsnu73SynUqGv-sdiLk3g" TargetMode="External"/><Relationship Id="rId61" Type="http://schemas.openxmlformats.org/officeDocument/2006/relationships/hyperlink" Target="https://www.tiktok.com/@.joan__/video/7633634902382087445?_r=1&amp;_t=ZS-8wUeIBpusyX" TargetMode="External"/><Relationship Id="rId82" Type="http://schemas.openxmlformats.org/officeDocument/2006/relationships/hyperlink" Target="https://www.tiktok.com/@churumisama/video/7645595427454160148" TargetMode="External"/><Relationship Id="rId199" Type="http://schemas.openxmlformats.org/officeDocument/2006/relationships/hyperlink" Target="https://www.instagram.com/ychan_biyou_?igsh=OHFpcHY4NXR2dWp1&amp;utm_source=qr" TargetMode="External"/><Relationship Id="rId203" Type="http://schemas.openxmlformats.org/officeDocument/2006/relationships/hyperlink" Target="https://www.instagram.com/kanna_cosme_" TargetMode="External"/><Relationship Id="rId385" Type="http://schemas.openxmlformats.org/officeDocument/2006/relationships/hyperlink" Target="https://x.com/m_dental_m/status/2062729560135987393?s=46&amp;t=E9OBXckTeO0976WfX24JRw" TargetMode="External"/><Relationship Id="rId19" Type="http://schemas.openxmlformats.org/officeDocument/2006/relationships/hyperlink" Target="https://www.tiktok.com/@verael_121/video/7628210197760183573" TargetMode="External"/><Relationship Id="rId224" Type="http://schemas.openxmlformats.org/officeDocument/2006/relationships/hyperlink" Target="https://lipscosme.com/posts/8725184?_t=zLqY&amp;_r=A4rWep" TargetMode="External"/><Relationship Id="rId245" Type="http://schemas.openxmlformats.org/officeDocument/2006/relationships/hyperlink" Target="https://www.instagram.com/p/DYmDkTPCWii/?igsh=MW1ycWZhMHVmN3JrMQ==" TargetMode="External"/><Relationship Id="rId266" Type="http://schemas.openxmlformats.org/officeDocument/2006/relationships/hyperlink" Target="https://www.instagram.com/p/DYqBNfNk_t5/?igsh=bHBobjZwYXlobGI4" TargetMode="External"/><Relationship Id="rId287" Type="http://schemas.openxmlformats.org/officeDocument/2006/relationships/hyperlink" Target="https://www.tiktok.com/@anushagiri12345?_r=1&amp;_t=ZS-95xaJgVjEFb" TargetMode="External"/><Relationship Id="rId410" Type="http://schemas.openxmlformats.org/officeDocument/2006/relationships/table" Target="../tables/table44.xml"/><Relationship Id="rId30" Type="http://schemas.openxmlformats.org/officeDocument/2006/relationships/hyperlink" Target="https://www.tiktok.com/@renderella4real?_r=1&amp;_t=ZS-95v2oBbBnoS" TargetMode="External"/><Relationship Id="rId105" Type="http://schemas.openxmlformats.org/officeDocument/2006/relationships/hyperlink" Target="https://www.instagram.com/p/DYteyGjkUTB/?img_index=1" TargetMode="External"/><Relationship Id="rId126" Type="http://schemas.openxmlformats.org/officeDocument/2006/relationships/hyperlink" Target="https://www.instagram.com/v_racchi_?igsh=MTh5d2Vobm11NGxubg%3D%3D&amp;utm_source=qr" TargetMode="External"/><Relationship Id="rId147" Type="http://schemas.openxmlformats.org/officeDocument/2006/relationships/hyperlink" Target="https://www.instagram.com/p/DYuYfKREgvB/?igsh=MWM5Z3N3cTg2c3loeQ==" TargetMode="External"/><Relationship Id="rId168" Type="http://schemas.openxmlformats.org/officeDocument/2006/relationships/hyperlink" Target="https://www.tiktok.com/@maychan_live?_r=1&amp;_t=ZS-95gz4aRxrcr" TargetMode="External"/><Relationship Id="rId312" Type="http://schemas.openxmlformats.org/officeDocument/2006/relationships/hyperlink" Target="https://instagram.com/m_beauty_612" TargetMode="External"/><Relationship Id="rId333" Type="http://schemas.openxmlformats.org/officeDocument/2006/relationships/hyperlink" Target="https://www.cosme.net/reviews/516071485" TargetMode="External"/><Relationship Id="rId354" Type="http://schemas.openxmlformats.org/officeDocument/2006/relationships/hyperlink" Target="https://www.instagram.com/p/DYo8WlVk8Q9/?igsh=MXB4ZWQwcWJxa295Mg==" TargetMode="External"/><Relationship Id="rId51" Type="http://schemas.openxmlformats.org/officeDocument/2006/relationships/hyperlink" Target="https://www.instagram.com/_1finesse_?igsh=MzE3d2Vnc2Rhd242&amp;utm_source=qr" TargetMode="External"/><Relationship Id="rId72" Type="http://schemas.openxmlformats.org/officeDocument/2006/relationships/hyperlink" Target="https://www.tiktok.com/@child_of_abraxas/video/7637172719280295189?_r=1&amp;_t=ZS-95uFnqNZwVJ" TargetMode="External"/><Relationship Id="rId93" Type="http://schemas.openxmlformats.org/officeDocument/2006/relationships/hyperlink" Target="https://www.tiktok.com/@shizuku_1813/video/7644138800557444370" TargetMode="External"/><Relationship Id="rId189" Type="http://schemas.openxmlformats.org/officeDocument/2006/relationships/hyperlink" Target="https://www.instagram.com/p/DZKd7BJEX97/?img_index=1" TargetMode="External"/><Relationship Id="rId375" Type="http://schemas.openxmlformats.org/officeDocument/2006/relationships/hyperlink" Target="https://www.instagram.com/sanabi_37b" TargetMode="External"/><Relationship Id="rId396" Type="http://schemas.openxmlformats.org/officeDocument/2006/relationships/table" Target="../tables/table30.xml"/><Relationship Id="rId3" Type="http://schemas.openxmlformats.org/officeDocument/2006/relationships/hyperlink" Target="https://www.instagram.com/travelikediva?igsh=MXd1d3VscGd2aDlteg%3D%3D&amp;utm_source=qr" TargetMode="External"/><Relationship Id="rId214" Type="http://schemas.openxmlformats.org/officeDocument/2006/relationships/hyperlink" Target="https://www.instagram.com/suzy_manjolla?igsh=Ynp0cW82bW5vZHN0&amp;utm_source=qr" TargetMode="External"/><Relationship Id="rId235" Type="http://schemas.openxmlformats.org/officeDocument/2006/relationships/hyperlink" Target="https://www.instagram.com/reel/DYw7ABJB76Q/?igsh=MWoxZGRwb2lnb3V1YQ==" TargetMode="External"/><Relationship Id="rId256" Type="http://schemas.openxmlformats.org/officeDocument/2006/relationships/hyperlink" Target="https://www.instagram.com/p/DYmREViGAyq/?igsh=OG1qd2F2NjI5aWx3" TargetMode="External"/><Relationship Id="rId277" Type="http://schemas.openxmlformats.org/officeDocument/2006/relationships/hyperlink" Target="https://www.instagram.com/yuriru_kcosme?igsh=MnNyOGk1dWlteGZv" TargetMode="External"/><Relationship Id="rId298" Type="http://schemas.openxmlformats.org/officeDocument/2006/relationships/hyperlink" Target="https://www.instagram.com/i.auly__/reels/" TargetMode="External"/><Relationship Id="rId400" Type="http://schemas.openxmlformats.org/officeDocument/2006/relationships/table" Target="../tables/table34.xml"/><Relationship Id="rId116" Type="http://schemas.openxmlformats.org/officeDocument/2006/relationships/hyperlink" Target="https://www.tiktok.com/@neterukaishain?_r=1&amp;_t=ZS-95kNQWBmEVT" TargetMode="External"/><Relationship Id="rId137" Type="http://schemas.openxmlformats.org/officeDocument/2006/relationships/hyperlink" Target="https://www.instagram.com/p/DYfziEJE4n2/?igsh=MTR1dXR5aGRjeWJwYQ==" TargetMode="External"/><Relationship Id="rId158" Type="http://schemas.openxmlformats.org/officeDocument/2006/relationships/hyperlink" Target="https://www.instagram.com/reel/DYh_KT_yc7t/?igsh=MWgwOTJsaGd0eGphcg==" TargetMode="External"/><Relationship Id="rId302" Type="http://schemas.openxmlformats.org/officeDocument/2006/relationships/hyperlink" Target="https://www.instagram.com/iamnanabananaa/reels/" TargetMode="External"/><Relationship Id="rId323" Type="http://schemas.openxmlformats.org/officeDocument/2006/relationships/hyperlink" Target="https://www.instagram.com/p/DZHrCULEvHh/?igsh=d2I3ZHFobHU5YTM3" TargetMode="External"/><Relationship Id="rId344" Type="http://schemas.openxmlformats.org/officeDocument/2006/relationships/hyperlink" Target="https://www.instagram.com/picmaki/" TargetMode="External"/><Relationship Id="rId20" Type="http://schemas.openxmlformats.org/officeDocument/2006/relationships/hyperlink" Target="https://www.instagram.com/reel/DXEgpXEAQAg/" TargetMode="External"/><Relationship Id="rId41" Type="http://schemas.openxmlformats.org/officeDocument/2006/relationships/hyperlink" Target="https://www.instagram.com/reel/DXMafFACg7J/?igsh=b2dzejFpc250NWh2" TargetMode="External"/><Relationship Id="rId62" Type="http://schemas.openxmlformats.org/officeDocument/2006/relationships/hyperlink" Target="https://www.instagram.com/p/DXqZbd0EgXW/" TargetMode="External"/><Relationship Id="rId83" Type="http://schemas.openxmlformats.org/officeDocument/2006/relationships/hyperlink" Target="https://www.tiktok.com/@seikeimakemiyu/video/7645547822598720789" TargetMode="External"/><Relationship Id="rId179" Type="http://schemas.openxmlformats.org/officeDocument/2006/relationships/hyperlink" Target="https://www.instagram.com/p/DYom4AjgcZv/?igsh=bWx4cG9qYmN0eTBk" TargetMode="External"/><Relationship Id="rId365" Type="http://schemas.openxmlformats.org/officeDocument/2006/relationships/hyperlink" Target="https://www.instagram.com/tunagu_79?igsh=cDVyd3o3N2Q0eG9l&amp;utm_source=qr" TargetMode="External"/><Relationship Id="rId386" Type="http://schemas.openxmlformats.org/officeDocument/2006/relationships/hyperlink" Target="https://x.com/rmomxm/status/2061377620747669565?s=46" TargetMode="External"/><Relationship Id="rId190" Type="http://schemas.openxmlformats.org/officeDocument/2006/relationships/hyperlink" Target="https://x.com/nene_kurumi/status/2062507795275214968/photo/1" TargetMode="External"/><Relationship Id="rId204" Type="http://schemas.openxmlformats.org/officeDocument/2006/relationships/hyperlink" Target="https://lipscosme.com/posts/8715110?_t=zLqY&amp;_r=x9xgvk" TargetMode="External"/><Relationship Id="rId225" Type="http://schemas.openxmlformats.org/officeDocument/2006/relationships/hyperlink" Target="https://www.instagram.com/reel/DYs2hK1BORZ/?igsh=eXF6bDRxYzRha2x3" TargetMode="External"/><Relationship Id="rId246" Type="http://schemas.openxmlformats.org/officeDocument/2006/relationships/hyperlink" Target="https://www.instagram.com/m_k_0817_212615/" TargetMode="External"/><Relationship Id="rId267" Type="http://schemas.openxmlformats.org/officeDocument/2006/relationships/hyperlink" Target="https://www.instagram.com/3mg_.mg?igsh=MWE3YmQ3YWhtOWUyMQ%3D%3D&amp;utm_source=qr" TargetMode="External"/><Relationship Id="rId288" Type="http://schemas.openxmlformats.org/officeDocument/2006/relationships/hyperlink" Target="https://vt.tiktok.com/ZSxmrs2Qp/" TargetMode="External"/><Relationship Id="rId411" Type="http://schemas.openxmlformats.org/officeDocument/2006/relationships/table" Target="../tables/table45.xml"/><Relationship Id="rId106" Type="http://schemas.openxmlformats.org/officeDocument/2006/relationships/hyperlink" Target="https://www.instagram.com/otsuchinoohada.kiroku" TargetMode="External"/><Relationship Id="rId127" Type="http://schemas.openxmlformats.org/officeDocument/2006/relationships/hyperlink" Target="https://www.instagram.com/p/DYv_CCqA7Jd/" TargetMode="External"/><Relationship Id="rId313" Type="http://schemas.openxmlformats.org/officeDocument/2006/relationships/hyperlink" Target="https://www.instagram.com/carolshiga" TargetMode="External"/><Relationship Id="rId10" Type="http://schemas.openxmlformats.org/officeDocument/2006/relationships/hyperlink" Target="https://www.tiktok.com/@oreo..leo/video/7622598230169160978?is_from_webapp=1&amp;sender_device=pc&amp;web_id=7599666610312627729" TargetMode="External"/><Relationship Id="rId31" Type="http://schemas.openxmlformats.org/officeDocument/2006/relationships/hyperlink" Target="https://www.instagram.com/renderella06?igsh=YTBwZHY1bThxdHZ0" TargetMode="External"/><Relationship Id="rId52" Type="http://schemas.openxmlformats.org/officeDocument/2006/relationships/hyperlink" Target="https://vt.tiktok.com/ZSHtChN3A/" TargetMode="External"/><Relationship Id="rId73" Type="http://schemas.openxmlformats.org/officeDocument/2006/relationships/hyperlink" Target="https://www.instagram.com/reel/DYCskwQvwdz/" TargetMode="External"/><Relationship Id="rId94" Type="http://schemas.openxmlformats.org/officeDocument/2006/relationships/hyperlink" Target="https://www.tiktok.com/@ippaiagetai/video/7645283841367837973" TargetMode="External"/><Relationship Id="rId148" Type="http://schemas.openxmlformats.org/officeDocument/2006/relationships/hyperlink" Target="https://www.instagram.com/alikokila?igsh=ajZsNnF4aHBzeTRu&amp;utm_source=qr" TargetMode="External"/><Relationship Id="rId169" Type="http://schemas.openxmlformats.org/officeDocument/2006/relationships/hyperlink" Target="https://www.tiktok.com/@maychan_live/video/7640751453119859989?_r=1&amp;_t=ZS-95gz4aRxrcr" TargetMode="External"/><Relationship Id="rId334" Type="http://schemas.openxmlformats.org/officeDocument/2006/relationships/hyperlink" Target="https://www.instagram.com/p/DZG1oMkCd8k/?igsh=MWVsZzlibjAxeXhneg==" TargetMode="External"/><Relationship Id="rId355" Type="http://schemas.openxmlformats.org/officeDocument/2006/relationships/hyperlink" Target="https://x.com/wgmpaw_/status/2057342271604093035?s=46&amp;t=3h4BRu3_4-GB8HqQ41gzVw" TargetMode="External"/><Relationship Id="rId376" Type="http://schemas.openxmlformats.org/officeDocument/2006/relationships/hyperlink" Target="https://x.com/shirotan_1023/status/2056371109424156748?s=46" TargetMode="External"/><Relationship Id="rId397" Type="http://schemas.openxmlformats.org/officeDocument/2006/relationships/table" Target="../tables/table31.xml"/><Relationship Id="rId4" Type="http://schemas.openxmlformats.org/officeDocument/2006/relationships/hyperlink" Target="https://vt.tiktok.com/ZSHjxQAX8/" TargetMode="External"/><Relationship Id="rId180" Type="http://schemas.openxmlformats.org/officeDocument/2006/relationships/hyperlink" Target="https://www.tiktok.com/@en_bambi?_r=1&amp;_t=ZS-95nrgNH0XDd" TargetMode="External"/><Relationship Id="rId215" Type="http://schemas.openxmlformats.org/officeDocument/2006/relationships/hyperlink" Target="https://www.instagram.com/pon_k17/" TargetMode="External"/><Relationship Id="rId236" Type="http://schemas.openxmlformats.org/officeDocument/2006/relationships/hyperlink" Target="https://www.instagram.com/suzukanoroom?igsh=Znl3ejN5cHN3dGF3" TargetMode="External"/><Relationship Id="rId257" Type="http://schemas.openxmlformats.org/officeDocument/2006/relationships/hyperlink" Target="https://www.tiktok.com/@krn22jp" TargetMode="External"/><Relationship Id="rId278" Type="http://schemas.openxmlformats.org/officeDocument/2006/relationships/hyperlink" Target="https://www.instagram.com/p/DYr1Zb3kkmf/?img_index=3&amp;igsh=YzNkNzNhN3gzNHlv" TargetMode="External"/><Relationship Id="rId401" Type="http://schemas.openxmlformats.org/officeDocument/2006/relationships/table" Target="../tables/table35.xml"/><Relationship Id="rId303" Type="http://schemas.openxmlformats.org/officeDocument/2006/relationships/hyperlink" Target="https://www.instagram.com/_773.a_/reels/" TargetMode="External"/><Relationship Id="rId42" Type="http://schemas.openxmlformats.org/officeDocument/2006/relationships/hyperlink" Target="https://www.tiktok.com/@annet.krist?_r=1&amp;_t=ZS-94x2X42IxSH" TargetMode="External"/><Relationship Id="rId84" Type="http://schemas.openxmlformats.org/officeDocument/2006/relationships/hyperlink" Target="https://www.tiktok.com/@2002_151/video/7644896105905523988" TargetMode="External"/><Relationship Id="rId138" Type="http://schemas.openxmlformats.org/officeDocument/2006/relationships/hyperlink" Target="https://www.instagram.com/saera.lab?igsh=c3RqcnRveG9xdmFq&amp;utm_source=qr" TargetMode="External"/><Relationship Id="rId345" Type="http://schemas.openxmlformats.org/officeDocument/2006/relationships/hyperlink" Target="https://www.instagram.com/p/DYjbbZ3gZLZ/?igsh=b21qbjB5M3Y4MDV6" TargetMode="External"/><Relationship Id="rId387" Type="http://schemas.openxmlformats.org/officeDocument/2006/relationships/hyperlink" Target="https://www.tiktok.com/@mirua_arumi?_r=1&amp;_t=ZS-95sh05nk0yD" TargetMode="External"/><Relationship Id="rId191" Type="http://schemas.openxmlformats.org/officeDocument/2006/relationships/hyperlink" Target="https://www.instagram.com/anmi5326" TargetMode="External"/><Relationship Id="rId205" Type="http://schemas.openxmlformats.org/officeDocument/2006/relationships/hyperlink" Target="https://www.instagram.com/color_cosme_diary/" TargetMode="External"/><Relationship Id="rId247" Type="http://schemas.openxmlformats.org/officeDocument/2006/relationships/hyperlink" Target="https://www.instagram.com/p/DYww5oQE22v/?igsh=NTM1ODBvbXY3d2w5" TargetMode="External"/><Relationship Id="rId412" Type="http://schemas.openxmlformats.org/officeDocument/2006/relationships/table" Target="../tables/table46.xml"/><Relationship Id="rId107" Type="http://schemas.openxmlformats.org/officeDocument/2006/relationships/hyperlink" Target="https://lite.tiktok.com/t/ZSxHRkmoU/" TargetMode="External"/><Relationship Id="rId289" Type="http://schemas.openxmlformats.org/officeDocument/2006/relationships/hyperlink" Target="https://x.com/pinkuring/status/2062404621646405771" TargetMode="External"/><Relationship Id="rId11" Type="http://schemas.openxmlformats.org/officeDocument/2006/relationships/hyperlink" Target="https://www.tiktok.com/@deborahinkorea_" TargetMode="External"/><Relationship Id="rId53" Type="http://schemas.openxmlformats.org/officeDocument/2006/relationships/hyperlink" Target="https://www.instagram.com/reel/DXJ6e7oCgQ3/?igsh=cnhoangxNWY2c29h" TargetMode="External"/><Relationship Id="rId149" Type="http://schemas.openxmlformats.org/officeDocument/2006/relationships/hyperlink" Target="https://www.instagram.com/reel/DYcIfF1BywO/?igsh=NjZmdGF6dW1hNGk=" TargetMode="External"/><Relationship Id="rId314" Type="http://schemas.openxmlformats.org/officeDocument/2006/relationships/hyperlink" Target="https://www.instagram.com/rurirurihime" TargetMode="External"/><Relationship Id="rId356" Type="http://schemas.openxmlformats.org/officeDocument/2006/relationships/hyperlink" Target="https://www.instagram.com/p/DYlyUGvEuoj/?igsh=MWNvdGR0ZXJrMzl0cw==" TargetMode="External"/><Relationship Id="rId398" Type="http://schemas.openxmlformats.org/officeDocument/2006/relationships/table" Target="../tables/table32.xml"/><Relationship Id="rId95" Type="http://schemas.openxmlformats.org/officeDocument/2006/relationships/hyperlink" Target="https://www.tiktok.com/@215ot_/video/7644875975037144340" TargetMode="External"/><Relationship Id="rId160" Type="http://schemas.openxmlformats.org/officeDocument/2006/relationships/hyperlink" Target="https://www.instagram.com/nico_cosme_?igsh=MXVqbHdibnRwa2VkcQ%3D%3D&amp;utm_source=qr" TargetMode="External"/><Relationship Id="rId216" Type="http://schemas.openxmlformats.org/officeDocument/2006/relationships/hyperlink" Target="https://www.instagram.com/www0373" TargetMode="External"/><Relationship Id="rId258" Type="http://schemas.openxmlformats.org/officeDocument/2006/relationships/hyperlink" Target="https://www.instagram.com/polka__beauty?igsh=eDl3OHZ4NzcyeTV2&amp;utm_source=qr" TargetMode="External"/><Relationship Id="rId22" Type="http://schemas.openxmlformats.org/officeDocument/2006/relationships/hyperlink" Target="https://www.instagram.com/6ihal" TargetMode="External"/><Relationship Id="rId64" Type="http://schemas.openxmlformats.org/officeDocument/2006/relationships/hyperlink" Target="https://www.instagram.com/chelsieyoo_/reels/" TargetMode="External"/><Relationship Id="rId118" Type="http://schemas.openxmlformats.org/officeDocument/2006/relationships/hyperlink" Target="https://www.instagram.com/reel/DYo3b2LgNJs/?igsh=MTJwMzN6MDl2Yjl3Ng==" TargetMode="External"/><Relationship Id="rId325" Type="http://schemas.openxmlformats.org/officeDocument/2006/relationships/hyperlink" Target="https://www.instagram.com/chihiro3xoxo?igsh=MXRwdHhsejMxOGJpbg%3D%3D&amp;utm_source=qr" TargetMode="External"/><Relationship Id="rId367" Type="http://schemas.openxmlformats.org/officeDocument/2006/relationships/hyperlink" Target="https://www.instagram.com/makeup_mio_/" TargetMode="External"/><Relationship Id="rId171" Type="http://schemas.openxmlformats.org/officeDocument/2006/relationships/hyperlink" Target="https://www.instagram.com/rinriiy_official/" TargetMode="External"/><Relationship Id="rId227" Type="http://schemas.openxmlformats.org/officeDocument/2006/relationships/hyperlink" Target="https://www.instagram.com/1970snoel" TargetMode="External"/><Relationship Id="rId269" Type="http://schemas.openxmlformats.org/officeDocument/2006/relationships/hyperlink" Target="https://www.instagram.com/banyan952?igsh=ZGVsdWprc2I3MWd1&amp;utm_source=qr" TargetMode="External"/><Relationship Id="rId33" Type="http://schemas.openxmlformats.org/officeDocument/2006/relationships/hyperlink" Target="https://www.instagram.com/reel/DX6x7FwBElz/" TargetMode="External"/><Relationship Id="rId129" Type="http://schemas.openxmlformats.org/officeDocument/2006/relationships/hyperlink" Target="https://www.instagram.com/snzhitn04?igsh=MTRlY285Y2Q2enl3NA%3D%3D&amp;utm_source=qr" TargetMode="External"/><Relationship Id="rId280" Type="http://schemas.openxmlformats.org/officeDocument/2006/relationships/hyperlink" Target="https://www.instagram.com/reel/DYgtQBVy18h/?igsh=dXhuNG1yM3NwNjho" TargetMode="External"/><Relationship Id="rId336" Type="http://schemas.openxmlformats.org/officeDocument/2006/relationships/hyperlink" Target="https://lipscosme.com/posts/8743815?_t=zLqY&amp;_r=ogGBqk" TargetMode="External"/><Relationship Id="rId75" Type="http://schemas.openxmlformats.org/officeDocument/2006/relationships/hyperlink" Target="https://www.instagram.com/irisoyeon_" TargetMode="External"/><Relationship Id="rId140" Type="http://schemas.openxmlformats.org/officeDocument/2006/relationships/hyperlink" Target="https://www.instagram.com/p/DYqWXdLE13u/?igsh=bDk2cXc4NGJ0M3lt" TargetMode="External"/><Relationship Id="rId182" Type="http://schemas.openxmlformats.org/officeDocument/2006/relationships/hyperlink" Target="https://www.tiktok.com/@mirua_arumi?_r=1&amp;_t=ZS-95sfA1wTbam" TargetMode="External"/><Relationship Id="rId378" Type="http://schemas.openxmlformats.org/officeDocument/2006/relationships/hyperlink" Target="https://www.instagram.com/p/DYhPyL9DHCH/?igsh=MTU2ZG9tZ2x1anI0Zg==" TargetMode="External"/><Relationship Id="rId403" Type="http://schemas.openxmlformats.org/officeDocument/2006/relationships/table" Target="../tables/table37.xml"/><Relationship Id="rId6" Type="http://schemas.openxmlformats.org/officeDocument/2006/relationships/hyperlink" Target="https://www.tiktok.com/@sofiaalopesc?_r=1&amp;_t=ZG-94BMg4D6zlh" TargetMode="External"/><Relationship Id="rId238" Type="http://schemas.openxmlformats.org/officeDocument/2006/relationships/hyperlink" Target="https://www.instagram.com/michiko22qp?igsh=MXhkcWVtY2Fhdjdkeg%3D%3D&amp;utm_source=qr" TargetMode="External"/><Relationship Id="rId291" Type="http://schemas.openxmlformats.org/officeDocument/2006/relationships/hyperlink" Target="https://www.tiktok.com/@ryokucya13/video/7640405513720630536" TargetMode="External"/><Relationship Id="rId305" Type="http://schemas.openxmlformats.org/officeDocument/2006/relationships/hyperlink" Target="https://www.instagram.com/p/DYmZU2BmHug/?igsh=MWN4enl3c3Eya3NqaA==" TargetMode="External"/><Relationship Id="rId347" Type="http://schemas.openxmlformats.org/officeDocument/2006/relationships/hyperlink" Target="https://www.instagram.com/nanako_beauty?igsh=MXZtc2x5Ym82M3U%3D&amp;utm_source=qr" TargetMode="External"/><Relationship Id="rId44" Type="http://schemas.openxmlformats.org/officeDocument/2006/relationships/hyperlink" Target="https://www.instagram.com/reel/DW6SHTSD7lS/?igsh=MTdkMHh4MngxN2N0cw==" TargetMode="External"/><Relationship Id="rId86" Type="http://schemas.openxmlformats.org/officeDocument/2006/relationships/hyperlink" Target="https://www.instagram.com/reels/DYol2Y9yrC_/" TargetMode="External"/><Relationship Id="rId151" Type="http://schemas.openxmlformats.org/officeDocument/2006/relationships/hyperlink" Target="https://www.instagram.com/ling_.67x?igsh=MWN1MjZ4aW1iNzE1aQ%3D%3D&amp;utm_source=qr" TargetMode="External"/><Relationship Id="rId389" Type="http://schemas.openxmlformats.org/officeDocument/2006/relationships/hyperlink" Target="https://www.instagram.com/m_k_0817_212615/" TargetMode="External"/><Relationship Id="rId193" Type="http://schemas.openxmlformats.org/officeDocument/2006/relationships/hyperlink" Target="https://www.instagram.com/reel/DY2BrIKJ0D-/?igsh=MWJrNHV0czlkdGYwdg==" TargetMode="External"/><Relationship Id="rId207" Type="http://schemas.openxmlformats.org/officeDocument/2006/relationships/hyperlink" Target="https://www.instagram.com/mcgroupakiko" TargetMode="External"/><Relationship Id="rId249" Type="http://schemas.openxmlformats.org/officeDocument/2006/relationships/hyperlink" Target="https://www.instagram.com/p/DZGnKK6yJiT/?igsh=MWZqazE3MHNzOWsydA==" TargetMode="External"/><Relationship Id="rId414" Type="http://schemas.openxmlformats.org/officeDocument/2006/relationships/table" Target="../tables/table48.xml"/><Relationship Id="rId13" Type="http://schemas.openxmlformats.org/officeDocument/2006/relationships/hyperlink" Target="https://www.tiktok.com/t/ZTkkTxdsD/" TargetMode="External"/><Relationship Id="rId109" Type="http://schemas.openxmlformats.org/officeDocument/2006/relationships/hyperlink" Target="https://x.com/painmomokan77/status/2060310854944661641?s=46" TargetMode="External"/><Relationship Id="rId260" Type="http://schemas.openxmlformats.org/officeDocument/2006/relationships/hyperlink" Target="https://www.tiktok.com/@aim1188?_r=1&amp;_t=ZS-95fQaO8Y6IZ" TargetMode="External"/><Relationship Id="rId316" Type="http://schemas.openxmlformats.org/officeDocument/2006/relationships/hyperlink" Target="https://www.instagram.com/reel/DYnrx3CvxaT/?igsh=MTBpMjI0NGExcm9sdA==" TargetMode="External"/><Relationship Id="rId55" Type="http://schemas.openxmlformats.org/officeDocument/2006/relationships/hyperlink" Target="https://vt.tiktok.com/ZSHvN9MKF/" TargetMode="External"/><Relationship Id="rId97" Type="http://schemas.openxmlformats.org/officeDocument/2006/relationships/hyperlink" Target="https://www.tiktok.com/@kuma_fam_love?" TargetMode="External"/><Relationship Id="rId120" Type="http://schemas.openxmlformats.org/officeDocument/2006/relationships/hyperlink" Target="https://www.instagram.com/kirarin93?igsh=YXVibnFiaDJiMzJi" TargetMode="External"/><Relationship Id="rId358" Type="http://schemas.openxmlformats.org/officeDocument/2006/relationships/hyperlink" Target="https://www.instagram.com/lhboo__" TargetMode="External"/><Relationship Id="rId162" Type="http://schemas.openxmlformats.org/officeDocument/2006/relationships/hyperlink" Target="http://www.tiktok.com/@moea444" TargetMode="External"/><Relationship Id="rId218" Type="http://schemas.openxmlformats.org/officeDocument/2006/relationships/hyperlink" Target="https://lipscosme.com/posts/8724484?_t=zLqY&amp;_r=37JNRN" TargetMode="External"/><Relationship Id="rId271" Type="http://schemas.openxmlformats.org/officeDocument/2006/relationships/hyperlink" Target="https://www.tiktok.com/@melty_l53" TargetMode="External"/><Relationship Id="rId24" Type="http://schemas.openxmlformats.org/officeDocument/2006/relationships/hyperlink" Target="https://www.tiktok.com/@koreabygrace" TargetMode="External"/><Relationship Id="rId66" Type="http://schemas.openxmlformats.org/officeDocument/2006/relationships/hyperlink" Target="https://www.instagram.com/reel/DXRNnj1DYkh/" TargetMode="External"/><Relationship Id="rId131" Type="http://schemas.openxmlformats.org/officeDocument/2006/relationships/hyperlink" Target="https://www.instagram.com/p/DYl4j5_FPMf/?igsh=ZGF6cHowbnIxa2ts" TargetMode="External"/><Relationship Id="rId327" Type="http://schemas.openxmlformats.org/officeDocument/2006/relationships/hyperlink" Target="https://www.instagram.com/errrrrrr_1717?igsh=cGZueTAxaXJ6YWl6&amp;utm_source=qr" TargetMode="External"/><Relationship Id="rId369" Type="http://schemas.openxmlformats.org/officeDocument/2006/relationships/hyperlink" Target="https://www.instagram.com/m_z_h_810/" TargetMode="External"/><Relationship Id="rId173" Type="http://schemas.openxmlformats.org/officeDocument/2006/relationships/hyperlink" Target="https://www.instagram.com/reel/DZEs2Kqxu33/?utm_source=ig_web_copy_link&amp;igsh=MzRlODBiNWFlZA==" TargetMode="External"/><Relationship Id="rId229" Type="http://schemas.openxmlformats.org/officeDocument/2006/relationships/hyperlink" Target="https://www.instagram.com/shotakemi" TargetMode="External"/><Relationship Id="rId380" Type="http://schemas.openxmlformats.org/officeDocument/2006/relationships/hyperlink" Target="https://www.instagram.com/p/DYhRr2PgeKe/?igsh=djcwbzRjOXJ1bjZv" TargetMode="External"/><Relationship Id="rId240" Type="http://schemas.openxmlformats.org/officeDocument/2006/relationships/hyperlink" Target="https://www.instagram.com/reel/DYxBAYazKj7/?igsh=NDJ6czRiYzg5cGVy" TargetMode="External"/><Relationship Id="rId35" Type="http://schemas.openxmlformats.org/officeDocument/2006/relationships/hyperlink" Target="https://www.instagram.com/p/DYGXeySvCRv/" TargetMode="External"/><Relationship Id="rId77" Type="http://schemas.openxmlformats.org/officeDocument/2006/relationships/hyperlink" Target="https://www.instagram.com/belinda.fashionista?igsh=eDM3dGttNTZlOW0w&amp;utm_source=qr" TargetMode="External"/><Relationship Id="rId100" Type="http://schemas.openxmlformats.org/officeDocument/2006/relationships/hyperlink" Target="https://www.instagram.com/somi_8814?igsh=MXZvZTl5ZmVuc2d0dw%3D%3D&amp;utm_source=qr" TargetMode="External"/><Relationship Id="rId282" Type="http://schemas.openxmlformats.org/officeDocument/2006/relationships/hyperlink" Target="https://www.tiktok.com/@salinaneupane13?_r=1&amp;_t=ZS-95wBUcQmHUe" TargetMode="External"/><Relationship Id="rId338" Type="http://schemas.openxmlformats.org/officeDocument/2006/relationships/hyperlink" Target="https://www.instagram.com/koishikawaren" TargetMode="External"/><Relationship Id="rId8" Type="http://schemas.openxmlformats.org/officeDocument/2006/relationships/hyperlink" Target="https://www.instagram.com/reel/DWncJLDAPOC/?igsh=MWdlcTk0b3YxdThwaA==" TargetMode="External"/><Relationship Id="rId142" Type="http://schemas.openxmlformats.org/officeDocument/2006/relationships/hyperlink" Target="https://www.instagram.com/p/DYuig4YEgwO/?igsh=cTYzeGowanZsdmp1" TargetMode="External"/><Relationship Id="rId184" Type="http://schemas.openxmlformats.org/officeDocument/2006/relationships/hyperlink" Target="https://www.instagram.com/akane_716/" TargetMode="External"/><Relationship Id="rId391" Type="http://schemas.openxmlformats.org/officeDocument/2006/relationships/hyperlink" Target="https://www.instagram.com/tir.acle?igsh=ZXR5N3JmbGQyYjd1" TargetMode="External"/><Relationship Id="rId405" Type="http://schemas.openxmlformats.org/officeDocument/2006/relationships/table" Target="../tables/table39.xml"/><Relationship Id="rId251" Type="http://schemas.openxmlformats.org/officeDocument/2006/relationships/hyperlink" Target="https://www.instagram.com/biyou_sakura?igsh=Y2VwYjNnbzFnY3py" TargetMode="External"/><Relationship Id="rId46" Type="http://schemas.openxmlformats.org/officeDocument/2006/relationships/hyperlink" Target="https://vt.tiktok.com/ZSHQBXyJv/" TargetMode="External"/><Relationship Id="rId293" Type="http://schemas.openxmlformats.org/officeDocument/2006/relationships/hyperlink" Target="https://www.tiktok.com/@yuriru_kcosme?_r=1&amp;_t=ZS-95i4hEAaDp6" TargetMode="External"/><Relationship Id="rId307" Type="http://schemas.openxmlformats.org/officeDocument/2006/relationships/hyperlink" Target="https://x.com/maipotetoo/status/2057794526543225096?s=46&amp;t=9m-ToKAiPt8pVNjEJTRkMg" TargetMode="External"/><Relationship Id="rId349" Type="http://schemas.openxmlformats.org/officeDocument/2006/relationships/hyperlink" Target="https://www.instagram.com/p/DZJXKwFFOkj/?igsh=MTZ6MjNod25sdTljZw%3D%3D" TargetMode="External"/><Relationship Id="rId88" Type="http://schemas.openxmlformats.org/officeDocument/2006/relationships/hyperlink" Target="https://www.instagram.com/reel/DYm0vhwTvv_/" TargetMode="External"/><Relationship Id="rId111" Type="http://schemas.openxmlformats.org/officeDocument/2006/relationships/hyperlink" Target="https://www.instagram.com/yuzucosmetic?igsh=MXUycDB1MmM5YWlhNQ%3D%3D&amp;utm_source=qr" TargetMode="External"/><Relationship Id="rId153" Type="http://schemas.openxmlformats.org/officeDocument/2006/relationships/hyperlink" Target="https://www.instagram.com/p/DYwlLoDE0bF/?igsh=MzFyZDgxcnNqNHJr" TargetMode="External"/><Relationship Id="rId195" Type="http://schemas.openxmlformats.org/officeDocument/2006/relationships/hyperlink" Target="https://www.tiktok.com/@kitty_kitty_mama" TargetMode="External"/><Relationship Id="rId209" Type="http://schemas.openxmlformats.org/officeDocument/2006/relationships/hyperlink" Target="https://www.instagram.com/p/DYwq1g_j9hW/?img_index=1" TargetMode="External"/><Relationship Id="rId360" Type="http://schemas.openxmlformats.org/officeDocument/2006/relationships/hyperlink" Target="https://www.instagram.com/p/DYyDsb_E9iL/?igsh=MW43ZWt6a2ZvejUzbQ==" TargetMode="External"/><Relationship Id="rId416" Type="http://schemas.openxmlformats.org/officeDocument/2006/relationships/table" Target="../tables/table50.xml"/><Relationship Id="rId220" Type="http://schemas.openxmlformats.org/officeDocument/2006/relationships/hyperlink" Target="https://www.instagram.com/tsuki2022111?igsh=c2Y1bDFwZGx2ZDR0&amp;utm_source=qr" TargetMode="External"/><Relationship Id="rId15" Type="http://schemas.openxmlformats.org/officeDocument/2006/relationships/hyperlink" Target="https://vt.tiktok.com/ZSHDacKnd/" TargetMode="External"/><Relationship Id="rId57" Type="http://schemas.openxmlformats.org/officeDocument/2006/relationships/hyperlink" Target="https://www.tiktok.com/@bygiannalee" TargetMode="External"/><Relationship Id="rId262" Type="http://schemas.openxmlformats.org/officeDocument/2006/relationships/hyperlink" Target="https://www.instagram.com/p/DYl1vSJkZKK/?igsh=MXV1aDM3cTk1czFoMg==" TargetMode="External"/><Relationship Id="rId318" Type="http://schemas.openxmlformats.org/officeDocument/2006/relationships/hyperlink" Target="https://lipscosme.com/posts/8754469?_t=zLqY&amp;_r=k4n5Nz%E2%81%A1%20%E2%81%A1%E2%81%A1" TargetMode="External"/><Relationship Id="rId99" Type="http://schemas.openxmlformats.org/officeDocument/2006/relationships/hyperlink" Target="https://www.instagram.com/reel/DYeziJ9SatR/?igsh=YXA5cjl0cWNkZTN3" TargetMode="External"/><Relationship Id="rId122" Type="http://schemas.openxmlformats.org/officeDocument/2006/relationships/hyperlink" Target="https://www.tiktok.com/@chobinamama/video/7643772010690088200?_r=1&amp;_t=ZS-96eYu923iA3" TargetMode="External"/><Relationship Id="rId164" Type="http://schemas.openxmlformats.org/officeDocument/2006/relationships/hyperlink" Target="https://lipscosme.com/posts/8736664?_t=zLqY&amp;_r=gQkvkk" TargetMode="External"/><Relationship Id="rId371" Type="http://schemas.openxmlformats.org/officeDocument/2006/relationships/hyperlink" Target="https://www.instagram.com/naohime20/" TargetMode="External"/><Relationship Id="rId26" Type="http://schemas.openxmlformats.org/officeDocument/2006/relationships/hyperlink" Target="https://www.tiktok.com/@koreabygrace/video/7634169888772197650" TargetMode="External"/><Relationship Id="rId231" Type="http://schemas.openxmlformats.org/officeDocument/2006/relationships/hyperlink" Target="https://www.instagram.com/miya0514" TargetMode="External"/><Relationship Id="rId273" Type="http://schemas.openxmlformats.org/officeDocument/2006/relationships/hyperlink" Target="http://www.tiktok.com/@momo_i23" TargetMode="External"/><Relationship Id="rId329" Type="http://schemas.openxmlformats.org/officeDocument/2006/relationships/hyperlink" Target="https://www.instagram.com/ir_uuy/" TargetMode="External"/><Relationship Id="rId68" Type="http://schemas.openxmlformats.org/officeDocument/2006/relationships/hyperlink" Target="https://vm.tiktok.com/ZNRgNm7wT/" TargetMode="External"/><Relationship Id="rId133" Type="http://schemas.openxmlformats.org/officeDocument/2006/relationships/hyperlink" Target="https://www.instagram.com/p/DYuDhN9mUTV/?igsh=MnV0ZTdsd3F1ODFh" TargetMode="External"/><Relationship Id="rId175" Type="http://schemas.openxmlformats.org/officeDocument/2006/relationships/hyperlink" Target="https://www.tiktok.com/@amipyn.223/video/7642705745246522631?_r=1&amp;_t=ZS-95h8YBcZF1o" TargetMode="External"/><Relationship Id="rId340" Type="http://schemas.openxmlformats.org/officeDocument/2006/relationships/hyperlink" Target="https://lipscosme.com/posts/8703472?_t=zLqY&amp;_r=MllMb8" TargetMode="External"/><Relationship Id="rId200" Type="http://schemas.openxmlformats.org/officeDocument/2006/relationships/hyperlink" Target="https://www.instagram.com/reel/DYwxuo4Su7P/?igsh=aDc3NHA5eDFleXFz" TargetMode="External"/><Relationship Id="rId382" Type="http://schemas.openxmlformats.org/officeDocument/2006/relationships/hyperlink" Target="https://www.instagram.com/p/DYtkjHGCctq/?igsh=bm95ZTFjNWFxdTd5" TargetMode="External"/><Relationship Id="rId242" Type="http://schemas.openxmlformats.org/officeDocument/2006/relationships/hyperlink" Target="https://www.instagram.com/p/DYy8ua9AaZj/?igsh=MWF6ODZjM2F4dDlibg==" TargetMode="External"/><Relationship Id="rId284" Type="http://schemas.openxmlformats.org/officeDocument/2006/relationships/hyperlink" Target="https://www.tiktok.com/@runajennifer?_r=1&amp;_t=ZS-95wIt925pVk" TargetMode="External"/><Relationship Id="rId37" Type="http://schemas.openxmlformats.org/officeDocument/2006/relationships/hyperlink" Target="https://www.instagram.com/j.k_kim96/" TargetMode="External"/><Relationship Id="rId79" Type="http://schemas.openxmlformats.org/officeDocument/2006/relationships/hyperlink" Target="https://www.instagram.com/0.banana" TargetMode="External"/><Relationship Id="rId102" Type="http://schemas.openxmlformats.org/officeDocument/2006/relationships/hyperlink" Target="https://www.instagram.com/monabeauty2026/" TargetMode="External"/><Relationship Id="rId144" Type="http://schemas.openxmlformats.org/officeDocument/2006/relationships/hyperlink" Target="https://www.instagram.com/reel/DYrgq7eugYc/?igsh=YnY3NzBqNzl1OHI5" TargetMode="External"/><Relationship Id="rId90" Type="http://schemas.openxmlformats.org/officeDocument/2006/relationships/hyperlink" Target="https://www.tiktok.com/@er1ka0309/video/7645961010594974994" TargetMode="External"/><Relationship Id="rId186" Type="http://schemas.openxmlformats.org/officeDocument/2006/relationships/hyperlink" Target="https://www.instagram.com/reel/DZHm5j_BMus/?igsh=M2Q1NG84aGdhZjlv" TargetMode="External"/><Relationship Id="rId351" Type="http://schemas.openxmlformats.org/officeDocument/2006/relationships/hyperlink" Target="https://www.instagram.com/p/DYhYURimWdr/?igsh=ZHBvcDN6b3Zudzg3" TargetMode="External"/><Relationship Id="rId393" Type="http://schemas.openxmlformats.org/officeDocument/2006/relationships/table" Target="../tables/table27.xml"/><Relationship Id="rId407" Type="http://schemas.openxmlformats.org/officeDocument/2006/relationships/table" Target="../tables/table41.xml"/><Relationship Id="rId211" Type="http://schemas.openxmlformats.org/officeDocument/2006/relationships/hyperlink" Target="https://www.instagram.com/p/DYuTyd_Ac3G/?img_index=1" TargetMode="External"/><Relationship Id="rId253" Type="http://schemas.openxmlformats.org/officeDocument/2006/relationships/hyperlink" Target="https://x.com/conecosme/status/2057380559010378212?s=46&amp;t=uQaizz7ofYV_C4edtSY2Aw" TargetMode="External"/><Relationship Id="rId295" Type="http://schemas.openxmlformats.org/officeDocument/2006/relationships/hyperlink" Target="https://www.tiktok.com/@minoko116" TargetMode="External"/><Relationship Id="rId309" Type="http://schemas.openxmlformats.org/officeDocument/2006/relationships/hyperlink" Target="https://www.instagram.com/chibisaya326" TargetMode="External"/><Relationship Id="rId48" Type="http://schemas.openxmlformats.org/officeDocument/2006/relationships/hyperlink" Target="https://www.tiktok.com/@agata0710" TargetMode="External"/><Relationship Id="rId113" Type="http://schemas.openxmlformats.org/officeDocument/2006/relationships/hyperlink" Target="https://www.instagram.com/onakasuitayo303?igsh=MTVyc2M1cWF1dTRzbg%3D%3D&amp;utm_source=qr" TargetMode="External"/><Relationship Id="rId320" Type="http://schemas.openxmlformats.org/officeDocument/2006/relationships/hyperlink" Target="https://www.instagram.com/mimima49/" TargetMode="External"/><Relationship Id="rId155" Type="http://schemas.openxmlformats.org/officeDocument/2006/relationships/hyperlink" Target="https://www.tiktok.com/@user1213227048580?_r=1&amp;_t=ZS-95zrnjNIbxf" TargetMode="External"/><Relationship Id="rId197" Type="http://schemas.openxmlformats.org/officeDocument/2006/relationships/hyperlink" Target="https://www.instagram.com/reel/DY5e1Sxz2CI/" TargetMode="External"/><Relationship Id="rId362" Type="http://schemas.openxmlformats.org/officeDocument/2006/relationships/hyperlink" Target="https://x.com/ricepakupaku_an/status/2058680580120920452?s=46&amp;t=z-r4j8JEpw32Zl0pLTRM8A" TargetMode="External"/><Relationship Id="rId418" Type="http://schemas.openxmlformats.org/officeDocument/2006/relationships/table" Target="../tables/table52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iktok.com/@koreabygrace/video/7634169888772197650" TargetMode="External"/><Relationship Id="rId21" Type="http://schemas.openxmlformats.org/officeDocument/2006/relationships/hyperlink" Target="https://www.tiktok.com/@ziekelijk" TargetMode="External"/><Relationship Id="rId42" Type="http://schemas.openxmlformats.org/officeDocument/2006/relationships/hyperlink" Target="https://www.instagram.com/reel/DYdgvDUqfLH/?igsh=a2lmajh3em1sdWN2" TargetMode="External"/><Relationship Id="rId47" Type="http://schemas.openxmlformats.org/officeDocument/2006/relationships/hyperlink" Target="https://www.instagram.com/lois_lee_lois_nail?igsh=MWU2bGxjOTRzc3h2Ng%3D%3D&amp;utm_source=qr" TargetMode="External"/><Relationship Id="rId63" Type="http://schemas.openxmlformats.org/officeDocument/2006/relationships/hyperlink" Target="https://vt.tiktok.com/ZSHvN9MKF/" TargetMode="External"/><Relationship Id="rId68" Type="http://schemas.openxmlformats.org/officeDocument/2006/relationships/hyperlink" Target="https://www.instagram.com/imjoancultura?igsh=MTkzYTMyaGx0YTJrdQ%3D%3D&amp;utm_source=qr" TargetMode="External"/><Relationship Id="rId84" Type="http://schemas.openxmlformats.org/officeDocument/2006/relationships/hyperlink" Target="https://www.tiktok.com/@irisoyeon_/video/7638646355627560212?_r=1&amp;_t=ZS-95ty8mvQ94u" TargetMode="External"/><Relationship Id="rId89" Type="http://schemas.openxmlformats.org/officeDocument/2006/relationships/hyperlink" Target="https://www.instagram.com/reel/DYRlk5Bvk83/" TargetMode="External"/><Relationship Id="rId16" Type="http://schemas.openxmlformats.org/officeDocument/2006/relationships/hyperlink" Target="https://www.instagram.com/reel/DWwCgwqEZZW/?igsh=Z242b293ZjNndWZy" TargetMode="External"/><Relationship Id="rId11" Type="http://schemas.openxmlformats.org/officeDocument/2006/relationships/hyperlink" Target="https://www.tiktok.com/@deborahinkorea_" TargetMode="External"/><Relationship Id="rId32" Type="http://schemas.openxmlformats.org/officeDocument/2006/relationships/hyperlink" Target="https://www.tiktok.com/@itsanaolivas/video/7635960715538337042?_r=1&amp;_t=ZS-95wBNlnzXOs" TargetMode="External"/><Relationship Id="rId37" Type="http://schemas.openxmlformats.org/officeDocument/2006/relationships/hyperlink" Target="https://www.instagram.com/hw26_hw" TargetMode="External"/><Relationship Id="rId53" Type="http://schemas.openxmlformats.org/officeDocument/2006/relationships/hyperlink" Target="https://www.instagram.com/anyaklyackaya?igsh=MXhtNDU5YzQ4ZWx2Yg%3D%3D&amp;utm_source=qr" TargetMode="External"/><Relationship Id="rId58" Type="http://schemas.openxmlformats.org/officeDocument/2006/relationships/hyperlink" Target="https://www.tiktok.com/@fine_xoxo?_r=1&amp;_t=ZS-94Gd0cZ94Dt" TargetMode="External"/><Relationship Id="rId74" Type="http://schemas.openxmlformats.org/officeDocument/2006/relationships/hyperlink" Target="https://www.instagram.com/reel/DXRNnj1DYkh/" TargetMode="External"/><Relationship Id="rId79" Type="http://schemas.openxmlformats.org/officeDocument/2006/relationships/hyperlink" Target="https://www.instagram.com/child_of_abraxos?igsh=MWpkNnZ6bXZid2lhMg%3D%3D&amp;utm_source=qr" TargetMode="External"/><Relationship Id="rId5" Type="http://schemas.openxmlformats.org/officeDocument/2006/relationships/hyperlink" Target="https://www.instagram.com/reel/DWl4iQcCYWo/" TargetMode="External"/><Relationship Id="rId90" Type="http://schemas.openxmlformats.org/officeDocument/2006/relationships/hyperlink" Target="https://www.tiktok.com/@seoulissa?fbclid=PAZXh0bgNhZW0CMTEAc3J0YwZhcHBfaWQPOTM2NjE5NzQzMzkyNDU5AAGnsuya0zdcLMsgUBuoKbN0d0yTuup9MYFD_zvvWCf_oIsI3XgfTypBCynexls_aem_8gBn81QfU5QX00kl1MW4Bg" TargetMode="External"/><Relationship Id="rId95" Type="http://schemas.openxmlformats.org/officeDocument/2006/relationships/table" Target="../tables/table55.xml"/><Relationship Id="rId22" Type="http://schemas.openxmlformats.org/officeDocument/2006/relationships/hyperlink" Target="https://www.instagram.com/6ihal" TargetMode="External"/><Relationship Id="rId27" Type="http://schemas.openxmlformats.org/officeDocument/2006/relationships/hyperlink" Target="https://www.tiktok.com/@melissalimes" TargetMode="External"/><Relationship Id="rId43" Type="http://schemas.openxmlformats.org/officeDocument/2006/relationships/hyperlink" Target="https://www.tiktok.com/@victoriarenblad?_r=1&amp;_t=ZN-95yxwAN8Eze" TargetMode="External"/><Relationship Id="rId48" Type="http://schemas.openxmlformats.org/officeDocument/2006/relationships/hyperlink" Target="https://vt.tiktok.com/ZSHWoP3W7/" TargetMode="External"/><Relationship Id="rId64" Type="http://schemas.openxmlformats.org/officeDocument/2006/relationships/hyperlink" Target="https://www.instagram.com/reel/DXMQf4Ekr52/?igsh=bzM0YTZzbmVidXI1" TargetMode="External"/><Relationship Id="rId69" Type="http://schemas.openxmlformats.org/officeDocument/2006/relationships/hyperlink" Target="https://www.tiktok.com/@.joan__/video/7633634902382087445?_r=1&amp;_t=ZS-8wUeIBpusyX" TargetMode="External"/><Relationship Id="rId80" Type="http://schemas.openxmlformats.org/officeDocument/2006/relationships/hyperlink" Target="https://www.tiktok.com/@child_of_abraxas/video/7637172719280295189?_r=1&amp;_t=ZS-95uFnqNZwVJ" TargetMode="External"/><Relationship Id="rId85" Type="http://schemas.openxmlformats.org/officeDocument/2006/relationships/hyperlink" Target="https://www.instagram.com/reel/DYM7u-tI4qm/" TargetMode="External"/><Relationship Id="rId3" Type="http://schemas.openxmlformats.org/officeDocument/2006/relationships/hyperlink" Target="https://www.instagram.com/travelikediva?igsh=MXd1d3VscGd2aDlteg%3D%3D&amp;utm_source=qr" TargetMode="External"/><Relationship Id="rId12" Type="http://schemas.openxmlformats.org/officeDocument/2006/relationships/hyperlink" Target="https://www.instagram.com/deborahinkorea_/" TargetMode="External"/><Relationship Id="rId17" Type="http://schemas.openxmlformats.org/officeDocument/2006/relationships/hyperlink" Target="https://www.tiktok.com/@verael_121" TargetMode="External"/><Relationship Id="rId25" Type="http://schemas.openxmlformats.org/officeDocument/2006/relationships/hyperlink" Target="https://www.tiktok.com/@koreabygrace/video/7633404521720352018" TargetMode="External"/><Relationship Id="rId33" Type="http://schemas.openxmlformats.org/officeDocument/2006/relationships/hyperlink" Target="https://www.tiktok.com/@renderella4real?_r=1&amp;_t=ZS-95v2oBbBnoS" TargetMode="External"/><Relationship Id="rId38" Type="http://schemas.openxmlformats.org/officeDocument/2006/relationships/hyperlink" Target="https://www.instagram.com/p/DYGXeySvCRv/" TargetMode="External"/><Relationship Id="rId46" Type="http://schemas.openxmlformats.org/officeDocument/2006/relationships/hyperlink" Target="https://www.instagram.com/reel/DYkDRfayex_/" TargetMode="External"/><Relationship Id="rId59" Type="http://schemas.openxmlformats.org/officeDocument/2006/relationships/hyperlink" Target="https://www.instagram.com/_1finesse_?igsh=MzE3d2Vnc2Rhd242&amp;utm_source=qr" TargetMode="External"/><Relationship Id="rId67" Type="http://schemas.openxmlformats.org/officeDocument/2006/relationships/hyperlink" Target="https://www.tiktok.com/@.joan__?_t=ZS-8wUeIBpusyX&amp;_r=1" TargetMode="External"/><Relationship Id="rId20" Type="http://schemas.openxmlformats.org/officeDocument/2006/relationships/hyperlink" Target="https://www.instagram.com/reel/DXEgpXEAQAg/" TargetMode="External"/><Relationship Id="rId41" Type="http://schemas.openxmlformats.org/officeDocument/2006/relationships/hyperlink" Target="https://vt.tiktok.com/ZSx2VQPpe/" TargetMode="External"/><Relationship Id="rId54" Type="http://schemas.openxmlformats.org/officeDocument/2006/relationships/hyperlink" Target="https://vt.tiktok.com/ZSHQBXyJv/" TargetMode="External"/><Relationship Id="rId62" Type="http://schemas.openxmlformats.org/officeDocument/2006/relationships/hyperlink" Target="https://www.instagram.com/therealnomikang" TargetMode="External"/><Relationship Id="rId70" Type="http://schemas.openxmlformats.org/officeDocument/2006/relationships/hyperlink" Target="https://www.instagram.com/p/DXqZbd0EgXW/" TargetMode="External"/><Relationship Id="rId75" Type="http://schemas.openxmlformats.org/officeDocument/2006/relationships/hyperlink" Target="https://www.tiktok.com/@glowymarika" TargetMode="External"/><Relationship Id="rId83" Type="http://schemas.openxmlformats.org/officeDocument/2006/relationships/hyperlink" Target="https://www.instagram.com/irisoyeon_" TargetMode="External"/><Relationship Id="rId88" Type="http://schemas.openxmlformats.org/officeDocument/2006/relationships/hyperlink" Target="https://vm.tiktok.com/ZNRGXeBwr/" TargetMode="External"/><Relationship Id="rId91" Type="http://schemas.openxmlformats.org/officeDocument/2006/relationships/hyperlink" Target="https://www.instagram.com/0.banana" TargetMode="External"/><Relationship Id="rId96" Type="http://schemas.openxmlformats.org/officeDocument/2006/relationships/table" Target="../tables/table56.xml"/><Relationship Id="rId1" Type="http://schemas.openxmlformats.org/officeDocument/2006/relationships/hyperlink" Target="https://www.tiktok.com/@.heeeelen?_r=1&amp;_t=ZN-94uzOxkvaUA" TargetMode="External"/><Relationship Id="rId6" Type="http://schemas.openxmlformats.org/officeDocument/2006/relationships/hyperlink" Target="https://www.tiktok.com/@sofiaalopesc?_r=1&amp;_t=ZG-94BMg4D6zlh" TargetMode="External"/><Relationship Id="rId15" Type="http://schemas.openxmlformats.org/officeDocument/2006/relationships/hyperlink" Target="https://vt.tiktok.com/ZSHDacKnd/" TargetMode="External"/><Relationship Id="rId23" Type="http://schemas.openxmlformats.org/officeDocument/2006/relationships/hyperlink" Target="https://vm.tiktok.com/ZGdu3LS6J/" TargetMode="External"/><Relationship Id="rId28" Type="http://schemas.openxmlformats.org/officeDocument/2006/relationships/hyperlink" Target="https://www.tiktok.com/@melissalimes/video/7637140799590812949" TargetMode="External"/><Relationship Id="rId36" Type="http://schemas.openxmlformats.org/officeDocument/2006/relationships/hyperlink" Target="https://www.instagram.com/reel/DX6x7FwBElz/" TargetMode="External"/><Relationship Id="rId49" Type="http://schemas.openxmlformats.org/officeDocument/2006/relationships/hyperlink" Target="https://www.instagram.com/reel/DXMafFACg7J/?igsh=b2dzejFpc250NWh2" TargetMode="External"/><Relationship Id="rId57" Type="http://schemas.openxmlformats.org/officeDocument/2006/relationships/hyperlink" Target="https://vt.tiktok.com/ZSHG5PS8c/" TargetMode="External"/><Relationship Id="rId10" Type="http://schemas.openxmlformats.org/officeDocument/2006/relationships/hyperlink" Target="https://www.tiktok.com/@oreo..leo/video/7622598230169160978?is_from_webapp=1&amp;sender_device=pc&amp;web_id=7599666610312627729" TargetMode="External"/><Relationship Id="rId31" Type="http://schemas.openxmlformats.org/officeDocument/2006/relationships/hyperlink" Target="https://www.instagram.com/itsanaolivas/" TargetMode="External"/><Relationship Id="rId44" Type="http://schemas.openxmlformats.org/officeDocument/2006/relationships/hyperlink" Target="https://www.instagram.com/victoriarenblad?igsh=d2tpN2drcmg2bmc%3D&amp;utm_source=qr" TargetMode="External"/><Relationship Id="rId52" Type="http://schemas.openxmlformats.org/officeDocument/2006/relationships/hyperlink" Target="https://www.instagram.com/reel/DW6SHTSD7lS/?igsh=MTdkMHh4MngxN2N0cw==" TargetMode="External"/><Relationship Id="rId60" Type="http://schemas.openxmlformats.org/officeDocument/2006/relationships/hyperlink" Target="https://vt.tiktok.com/ZSHtChN3A/" TargetMode="External"/><Relationship Id="rId65" Type="http://schemas.openxmlformats.org/officeDocument/2006/relationships/hyperlink" Target="https://www.tiktok.com/@bygiannalee" TargetMode="External"/><Relationship Id="rId73" Type="http://schemas.openxmlformats.org/officeDocument/2006/relationships/hyperlink" Target="https://www.tiktok.com/@chelsieyoo/video/7630037270581628167?_r=1&amp;_t=ZS-94vHn3iFxQe" TargetMode="External"/><Relationship Id="rId78" Type="http://schemas.openxmlformats.org/officeDocument/2006/relationships/hyperlink" Target="https://www.tiktok.com/@child_of_abraxas?_r=1&amp;_t=ZS-95uFnqNZwVJ" TargetMode="External"/><Relationship Id="rId81" Type="http://schemas.openxmlformats.org/officeDocument/2006/relationships/hyperlink" Target="https://www.instagram.com/reels/DYCskwQvwdz/" TargetMode="External"/><Relationship Id="rId86" Type="http://schemas.openxmlformats.org/officeDocument/2006/relationships/hyperlink" Target="https://www.tiktok.com/@belinda.fashionista?_r=1&amp;_t=ZN-95u9XMmjpyg" TargetMode="External"/><Relationship Id="rId94" Type="http://schemas.openxmlformats.org/officeDocument/2006/relationships/hyperlink" Target="https://www.instagram.com/reel/DYvfkeBSV7P/" TargetMode="External"/><Relationship Id="rId99" Type="http://schemas.openxmlformats.org/officeDocument/2006/relationships/table" Target="../tables/table59.xml"/><Relationship Id="rId4" Type="http://schemas.openxmlformats.org/officeDocument/2006/relationships/hyperlink" Target="https://vt.tiktok.com/ZSHjxQAX8/" TargetMode="External"/><Relationship Id="rId9" Type="http://schemas.openxmlformats.org/officeDocument/2006/relationships/hyperlink" Target="https://www.tiktok.com/@oreo..leo" TargetMode="External"/><Relationship Id="rId13" Type="http://schemas.openxmlformats.org/officeDocument/2006/relationships/hyperlink" Target="https://www.tiktok.com/t/ZTkkTxdsD/" TargetMode="External"/><Relationship Id="rId18" Type="http://schemas.openxmlformats.org/officeDocument/2006/relationships/hyperlink" Target="https://www.instagram.com/verael_121" TargetMode="External"/><Relationship Id="rId39" Type="http://schemas.openxmlformats.org/officeDocument/2006/relationships/hyperlink" Target="https://www.tiktok.com/@mary.shire?_r=1&amp;_t=ZS-961ozB4KUXS" TargetMode="External"/><Relationship Id="rId34" Type="http://schemas.openxmlformats.org/officeDocument/2006/relationships/hyperlink" Target="https://www.instagram.com/renderella06?igsh=YTBwZHY1bThxdHZ0" TargetMode="External"/><Relationship Id="rId50" Type="http://schemas.openxmlformats.org/officeDocument/2006/relationships/hyperlink" Target="https://www.tiktok.com/@annet.krist?_r=1&amp;_t=ZS-94x2X42IxSH" TargetMode="External"/><Relationship Id="rId55" Type="http://schemas.openxmlformats.org/officeDocument/2006/relationships/hyperlink" Target="https://www.instagram.com/reel/DW9CPOZE7EY/" TargetMode="External"/><Relationship Id="rId76" Type="http://schemas.openxmlformats.org/officeDocument/2006/relationships/hyperlink" Target="https://vm.tiktok.com/ZNRgNm7wT/" TargetMode="External"/><Relationship Id="rId97" Type="http://schemas.openxmlformats.org/officeDocument/2006/relationships/table" Target="../tables/table57.xml"/><Relationship Id="rId7" Type="http://schemas.openxmlformats.org/officeDocument/2006/relationships/hyperlink" Target="https://vt.tiktok.com/ZGdutFXkr/" TargetMode="External"/><Relationship Id="rId71" Type="http://schemas.openxmlformats.org/officeDocument/2006/relationships/hyperlink" Target="https://www.tiktok.com/@chelsieyoo?_r=1&amp;_t=ZS-94vHn3iFxQe" TargetMode="External"/><Relationship Id="rId92" Type="http://schemas.openxmlformats.org/officeDocument/2006/relationships/hyperlink" Target="https://www.tiktok.com/@seoulissa/video/7641275750527618325?fbclid=PAZXh0bgNhZW0CMTEAc3J0YwZhcHBfaWQPOTM2NjE5NzQzMzkyNDU5AAGnsuya0zdcLMsgUBuoKbN0d0yTuup9MYFD_zvvWCf_oIsI3XgfTypBCynexls_aem_8gBn81QfU5QX00kl1MW4Bg" TargetMode="External"/><Relationship Id="rId2" Type="http://schemas.openxmlformats.org/officeDocument/2006/relationships/hyperlink" Target="https://www.tiktok.com/@.heeeelen/video/7623415364386327830?_r=1&amp;_t=ZN-95A6geVjd1q" TargetMode="External"/><Relationship Id="rId29" Type="http://schemas.openxmlformats.org/officeDocument/2006/relationships/hyperlink" Target="https://www.instagram.com/p/DYFFEUzz9wn/" TargetMode="External"/><Relationship Id="rId24" Type="http://schemas.openxmlformats.org/officeDocument/2006/relationships/hyperlink" Target="https://www.tiktok.com/@koreabygrace" TargetMode="External"/><Relationship Id="rId40" Type="http://schemas.openxmlformats.org/officeDocument/2006/relationships/hyperlink" Target="https://www.instagram.com/mary.shire?igsh=M3EwZjBoOTM4MHkx&amp;utm_source=qr" TargetMode="External"/><Relationship Id="rId45" Type="http://schemas.openxmlformats.org/officeDocument/2006/relationships/hyperlink" Target="https://www.tiktok.com/@victoriarenblad/video/7641977526822145302?_r=1&amp;_t=ZN-95yxwAN8Eze" TargetMode="External"/><Relationship Id="rId66" Type="http://schemas.openxmlformats.org/officeDocument/2006/relationships/hyperlink" Target="https://www.tiktok.com/@bygiannalee/video/7628671526413356308" TargetMode="External"/><Relationship Id="rId87" Type="http://schemas.openxmlformats.org/officeDocument/2006/relationships/hyperlink" Target="https://www.instagram.com/belinda.fashionista?igsh=eDM3dGttNTZlOW0w&amp;utm_source=qr" TargetMode="External"/><Relationship Id="rId61" Type="http://schemas.openxmlformats.org/officeDocument/2006/relationships/hyperlink" Target="https://www.instagram.com/reel/DXJ6e7oCgQ3/?igsh=cnhoangxNWY2c29h" TargetMode="External"/><Relationship Id="rId82" Type="http://schemas.openxmlformats.org/officeDocument/2006/relationships/hyperlink" Target="https://www.tiktok.com/@irisoyeon_?_r=1&amp;_t=ZS-95ty8mvQ94u" TargetMode="External"/><Relationship Id="rId19" Type="http://schemas.openxmlformats.org/officeDocument/2006/relationships/hyperlink" Target="https://www.tiktok.com/@verael_121/video/7628210197760183573" TargetMode="External"/><Relationship Id="rId14" Type="http://schemas.openxmlformats.org/officeDocument/2006/relationships/hyperlink" Target="https://www.instagram.com/creator_mdd?igsh=MTNzOWxxODFuZTd6eQ%3D%3D&amp;utm_source=qr" TargetMode="External"/><Relationship Id="rId30" Type="http://schemas.openxmlformats.org/officeDocument/2006/relationships/hyperlink" Target="https://www.tiktok.com/@itsanaolivas?_r=1&amp;_t=ZS-95wBNlnzXOs" TargetMode="External"/><Relationship Id="rId35" Type="http://schemas.openxmlformats.org/officeDocument/2006/relationships/hyperlink" Target="https://www.tiktok.com/@renderella4real/video/7636033162614721799?_r=1&amp;_t=ZS-95v2oBbBnoS" TargetMode="External"/><Relationship Id="rId56" Type="http://schemas.openxmlformats.org/officeDocument/2006/relationships/hyperlink" Target="https://www.tiktok.com/@agata0710" TargetMode="External"/><Relationship Id="rId77" Type="http://schemas.openxmlformats.org/officeDocument/2006/relationships/hyperlink" Target="https://www.instagram.com/reel/DXructADTA1/?igsh=bjJ0amVtN3dud2xm" TargetMode="External"/><Relationship Id="rId100" Type="http://schemas.openxmlformats.org/officeDocument/2006/relationships/table" Target="../tables/table60.xml"/><Relationship Id="rId8" Type="http://schemas.openxmlformats.org/officeDocument/2006/relationships/hyperlink" Target="https://www.instagram.com/reel/DWncJLDAPOC/?igsh=MWdlcTk0b3YxdThwaA==" TargetMode="External"/><Relationship Id="rId51" Type="http://schemas.openxmlformats.org/officeDocument/2006/relationships/hyperlink" Target="https://vt.tiktok.com/ZSHxN1LpT/" TargetMode="External"/><Relationship Id="rId72" Type="http://schemas.openxmlformats.org/officeDocument/2006/relationships/hyperlink" Target="https://www.instagram.com/chelsieyoo_/reels/" TargetMode="External"/><Relationship Id="rId93" Type="http://schemas.openxmlformats.org/officeDocument/2006/relationships/hyperlink" Target="https://www.instagram.com/natashaamiri_" TargetMode="External"/><Relationship Id="rId98" Type="http://schemas.openxmlformats.org/officeDocument/2006/relationships/table" Target="../tables/table5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4"/>
  <sheetViews>
    <sheetView workbookViewId="0">
      <selection sqref="A1:E1"/>
    </sheetView>
  </sheetViews>
  <sheetFormatPr baseColWidth="10" defaultColWidth="12.6640625" defaultRowHeight="15.75" customHeight="1"/>
  <cols>
    <col min="1" max="1" width="15.1640625" customWidth="1"/>
    <col min="2" max="2" width="26.1640625" customWidth="1"/>
    <col min="3" max="3" width="21.1640625" customWidth="1"/>
    <col min="4" max="4" width="17.6640625" customWidth="1"/>
    <col min="7" max="7" width="7" customWidth="1"/>
    <col min="8" max="8" width="10.83203125" customWidth="1"/>
    <col min="9" max="9" width="7.1640625" customWidth="1"/>
    <col min="10" max="10" width="7.5" customWidth="1"/>
    <col min="11" max="11" width="8.6640625" customWidth="1"/>
    <col min="12" max="13" width="7.1640625" customWidth="1"/>
    <col min="14" max="14" width="8.1640625" customWidth="1"/>
  </cols>
  <sheetData>
    <row r="1" spans="1:29" ht="38.25" customHeight="1">
      <c r="A1" s="491" t="s">
        <v>0</v>
      </c>
      <c r="B1" s="490"/>
      <c r="C1" s="490"/>
      <c r="D1" s="490"/>
      <c r="E1" s="49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">
      <c r="A3" s="4" t="s">
        <v>6</v>
      </c>
      <c r="B3" s="1" t="s">
        <v>7</v>
      </c>
      <c r="C3" s="5">
        <v>91756</v>
      </c>
      <c r="D3" s="5">
        <v>3113</v>
      </c>
      <c r="E3" s="1">
        <v>340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">
      <c r="A4" s="4" t="s">
        <v>8</v>
      </c>
      <c r="B4" s="1" t="s">
        <v>9</v>
      </c>
      <c r="C4" s="5">
        <v>636279</v>
      </c>
      <c r="D4" s="5">
        <v>19901</v>
      </c>
      <c r="E4" s="5">
        <v>1702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">
      <c r="A5" s="4" t="s">
        <v>10</v>
      </c>
      <c r="B5" s="1" t="s">
        <v>11</v>
      </c>
      <c r="C5" s="5">
        <v>728035</v>
      </c>
      <c r="D5" s="5">
        <v>23014</v>
      </c>
      <c r="E5" s="5">
        <v>2042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">
      <c r="D6" s="5"/>
    </row>
    <row r="7" spans="1:29" ht="27" customHeight="1">
      <c r="A7" s="492" t="s">
        <v>12</v>
      </c>
      <c r="B7" s="490"/>
      <c r="C7" s="7"/>
      <c r="D7" s="492" t="s">
        <v>13</v>
      </c>
      <c r="E7" s="490"/>
      <c r="F7" s="7"/>
      <c r="G7" s="493" t="s">
        <v>14</v>
      </c>
      <c r="H7" s="490"/>
      <c r="I7" s="8"/>
      <c r="J7" s="493" t="s">
        <v>16</v>
      </c>
      <c r="K7" s="490"/>
      <c r="L7" s="8"/>
      <c r="M7" s="493" t="s">
        <v>17</v>
      </c>
      <c r="N7" s="490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3">
      <c r="A8" s="9" t="s">
        <v>18</v>
      </c>
      <c r="B8" s="9">
        <v>5</v>
      </c>
      <c r="C8" s="9"/>
      <c r="D8" s="9" t="s">
        <v>18</v>
      </c>
      <c r="E8" s="9">
        <v>8</v>
      </c>
      <c r="F8" s="9"/>
      <c r="G8" s="11" t="s">
        <v>18</v>
      </c>
      <c r="H8" s="11">
        <v>405406</v>
      </c>
      <c r="I8" s="12"/>
      <c r="J8" s="12" t="s">
        <v>18</v>
      </c>
      <c r="K8" s="11">
        <v>14324</v>
      </c>
      <c r="L8" s="12"/>
      <c r="M8" s="12" t="s">
        <v>18</v>
      </c>
      <c r="N8" s="11">
        <v>1261</v>
      </c>
    </row>
    <row r="9" spans="1:29" ht="13">
      <c r="A9" s="9" t="s">
        <v>30</v>
      </c>
      <c r="B9" s="9">
        <f>19+15</f>
        <v>34</v>
      </c>
      <c r="C9" s="9"/>
      <c r="D9" s="9" t="s">
        <v>30</v>
      </c>
      <c r="E9" s="9">
        <f>14+11+24</f>
        <v>49</v>
      </c>
      <c r="F9" s="9"/>
      <c r="G9" s="11" t="s">
        <v>30</v>
      </c>
      <c r="H9" s="11">
        <v>187250</v>
      </c>
      <c r="I9" s="11"/>
      <c r="J9" s="11" t="s">
        <v>30</v>
      </c>
      <c r="K9" s="11">
        <v>5027</v>
      </c>
      <c r="L9" s="12"/>
      <c r="M9" s="12" t="s">
        <v>30</v>
      </c>
      <c r="N9" s="12">
        <v>301</v>
      </c>
    </row>
    <row r="10" spans="1:29" ht="13">
      <c r="A10" s="9" t="s">
        <v>51</v>
      </c>
      <c r="B10" s="9">
        <v>21</v>
      </c>
      <c r="C10" s="9"/>
      <c r="D10" s="9" t="s">
        <v>51</v>
      </c>
      <c r="E10" s="9">
        <f>7+13+14</f>
        <v>34</v>
      </c>
      <c r="F10" s="9"/>
      <c r="G10" s="12" t="s">
        <v>51</v>
      </c>
      <c r="H10" s="21">
        <v>37702</v>
      </c>
      <c r="I10" s="12"/>
      <c r="J10" s="12" t="s">
        <v>51</v>
      </c>
      <c r="K10" s="21">
        <v>1814</v>
      </c>
      <c r="L10" s="12"/>
      <c r="M10" s="12" t="s">
        <v>51</v>
      </c>
      <c r="N10" s="12">
        <v>206</v>
      </c>
    </row>
    <row r="11" spans="1:29" ht="13">
      <c r="A11" s="9" t="s">
        <v>58</v>
      </c>
      <c r="B11" s="9">
        <v>20</v>
      </c>
      <c r="C11" s="9"/>
      <c r="D11" s="9" t="s">
        <v>58</v>
      </c>
      <c r="E11" s="9">
        <f>7+8+12</f>
        <v>27</v>
      </c>
      <c r="F11" s="9"/>
      <c r="G11" s="11" t="s">
        <v>58</v>
      </c>
      <c r="H11" s="11">
        <v>24242</v>
      </c>
      <c r="I11" s="12"/>
      <c r="J11" s="12" t="s">
        <v>58</v>
      </c>
      <c r="K11" s="11">
        <v>1142</v>
      </c>
      <c r="L11" s="12"/>
      <c r="M11" s="12" t="s">
        <v>58</v>
      </c>
      <c r="N11" s="12">
        <v>84</v>
      </c>
    </row>
    <row r="12" spans="1:29" ht="13">
      <c r="A12" s="9" t="s">
        <v>15</v>
      </c>
      <c r="B12" s="9">
        <v>6</v>
      </c>
      <c r="C12" s="9"/>
      <c r="D12" s="9" t="s">
        <v>15</v>
      </c>
      <c r="E12" s="9">
        <v>6</v>
      </c>
      <c r="F12" s="9"/>
      <c r="G12" s="12" t="s">
        <v>15</v>
      </c>
      <c r="H12" s="12">
        <v>3316</v>
      </c>
      <c r="I12" s="12"/>
      <c r="J12" s="12" t="s">
        <v>15</v>
      </c>
      <c r="K12" s="12">
        <v>118</v>
      </c>
      <c r="L12" s="12"/>
      <c r="M12" s="12" t="s">
        <v>15</v>
      </c>
      <c r="N12" s="12">
        <v>43</v>
      </c>
    </row>
    <row r="13" spans="1:29" ht="13">
      <c r="A13" s="9" t="s">
        <v>73</v>
      </c>
      <c r="B13" s="9">
        <v>6</v>
      </c>
      <c r="C13" s="9"/>
      <c r="D13" s="12" t="s">
        <v>73</v>
      </c>
      <c r="E13" s="9">
        <f>7+E213</f>
        <v>7</v>
      </c>
      <c r="F13" s="9"/>
      <c r="G13" s="12" t="s">
        <v>73</v>
      </c>
      <c r="H13" s="12">
        <v>70119</v>
      </c>
      <c r="I13" s="12"/>
      <c r="J13" s="12" t="s">
        <v>73</v>
      </c>
      <c r="K13" s="12">
        <v>214</v>
      </c>
      <c r="L13" s="12"/>
      <c r="M13" s="12" t="s">
        <v>73</v>
      </c>
      <c r="N13" s="12">
        <v>39</v>
      </c>
    </row>
    <row r="14" spans="1:29" ht="13">
      <c r="A14" s="4" t="s">
        <v>77</v>
      </c>
      <c r="B14" s="9">
        <f>SUM(B8:B13)</f>
        <v>92</v>
      </c>
      <c r="C14" s="9"/>
      <c r="D14" s="4" t="s">
        <v>77</v>
      </c>
      <c r="E14" s="9">
        <f>SUM(E8:E13)</f>
        <v>131</v>
      </c>
      <c r="F14" s="9"/>
      <c r="G14" s="4" t="s">
        <v>77</v>
      </c>
      <c r="H14" s="21">
        <f>SUM(H8:H13)</f>
        <v>728035</v>
      </c>
      <c r="I14" s="9"/>
      <c r="J14" s="4" t="s">
        <v>77</v>
      </c>
      <c r="K14" s="21">
        <f>SUM(K8:K13)</f>
        <v>22639</v>
      </c>
      <c r="L14" s="9"/>
      <c r="M14" s="4" t="s">
        <v>77</v>
      </c>
      <c r="N14" s="21">
        <f>SUM(N8:N13)</f>
        <v>1934</v>
      </c>
    </row>
    <row r="15" spans="1:29" ht="13">
      <c r="A15" s="36" t="s">
        <v>84</v>
      </c>
      <c r="B15" s="36" t="s">
        <v>85</v>
      </c>
    </row>
    <row r="16" spans="1:29" ht="12.75" customHeight="1"/>
    <row r="17" spans="1:29" ht="13">
      <c r="A17" s="494"/>
      <c r="B17" s="490"/>
      <c r="C17" s="38"/>
      <c r="D17" s="489"/>
      <c r="E17" s="490"/>
      <c r="F17" s="41"/>
      <c r="G17" s="489"/>
      <c r="H17" s="490"/>
      <c r="I17" s="41"/>
      <c r="J17" s="489"/>
      <c r="K17" s="490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3">
      <c r="D18" s="45"/>
      <c r="E18" s="45"/>
      <c r="F18" s="44"/>
      <c r="G18" s="44"/>
      <c r="H18" s="45"/>
      <c r="I18" s="44"/>
      <c r="J18" s="44"/>
      <c r="K18" s="45"/>
    </row>
    <row r="19" spans="1:29" ht="13">
      <c r="D19" s="45"/>
      <c r="E19" s="47"/>
      <c r="F19" s="44"/>
      <c r="G19" s="44"/>
      <c r="H19" s="48"/>
      <c r="I19" s="44"/>
      <c r="J19" s="44"/>
      <c r="K19" s="44"/>
    </row>
    <row r="20" spans="1:29" ht="13">
      <c r="D20" s="45"/>
      <c r="E20" s="48"/>
      <c r="F20" s="45"/>
      <c r="G20" s="45"/>
      <c r="H20" s="47"/>
      <c r="I20" s="44"/>
      <c r="J20" s="44"/>
      <c r="K20" s="44"/>
    </row>
    <row r="21" spans="1:29" ht="13">
      <c r="D21" s="44"/>
      <c r="E21" s="5"/>
      <c r="F21" s="44"/>
      <c r="G21" s="44"/>
      <c r="H21" s="5"/>
      <c r="I21" s="44"/>
      <c r="J21" s="44"/>
      <c r="K21" s="44"/>
    </row>
    <row r="22" spans="1:29" ht="13">
      <c r="D22" s="44"/>
      <c r="E22" s="44"/>
      <c r="F22" s="44"/>
      <c r="G22" s="44"/>
      <c r="H22" s="44"/>
      <c r="I22" s="44"/>
      <c r="J22" s="44"/>
      <c r="K22" s="44"/>
    </row>
    <row r="23" spans="1:29" ht="13">
      <c r="D23" s="44"/>
      <c r="E23" s="44"/>
      <c r="F23" s="44"/>
      <c r="G23" s="44"/>
      <c r="H23" s="44"/>
      <c r="I23" s="44"/>
      <c r="J23" s="44"/>
      <c r="K23" s="44"/>
    </row>
    <row r="24" spans="1:29" ht="13">
      <c r="A24" s="1"/>
      <c r="D24" s="1"/>
      <c r="G24" s="1"/>
      <c r="J24" s="1"/>
    </row>
  </sheetData>
  <mergeCells count="10">
    <mergeCell ref="J7:K7"/>
    <mergeCell ref="M7:N7"/>
    <mergeCell ref="A17:B17"/>
    <mergeCell ref="J17:K17"/>
    <mergeCell ref="D17:E17"/>
    <mergeCell ref="G17:H17"/>
    <mergeCell ref="A1:E1"/>
    <mergeCell ref="A7:B7"/>
    <mergeCell ref="D7:E7"/>
    <mergeCell ref="G7:H7"/>
  </mergeCells>
  <phoneticPr fontId="25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31"/>
  <sheetViews>
    <sheetView workbookViewId="0"/>
  </sheetViews>
  <sheetFormatPr baseColWidth="10" defaultColWidth="12.6640625" defaultRowHeight="15.75" customHeight="1"/>
  <sheetData>
    <row r="1" spans="1:13" ht="13">
      <c r="K1" s="6"/>
    </row>
    <row r="2" spans="1:13" ht="13">
      <c r="K2" s="6"/>
    </row>
    <row r="4" spans="1:13" ht="13">
      <c r="K4" s="6"/>
    </row>
    <row r="5" spans="1:13" ht="13">
      <c r="K5" s="6"/>
    </row>
    <row r="6" spans="1:13" ht="13">
      <c r="A6" s="1" t="s">
        <v>15</v>
      </c>
      <c r="K6" s="6"/>
    </row>
    <row r="7" spans="1:13" ht="13">
      <c r="A7" s="495" t="s">
        <v>19</v>
      </c>
      <c r="B7" s="496"/>
      <c r="C7" s="496"/>
      <c r="D7" s="496"/>
      <c r="E7" s="496"/>
      <c r="F7" s="496"/>
      <c r="G7" s="496"/>
      <c r="H7" s="496"/>
      <c r="I7" s="496"/>
      <c r="J7" s="496"/>
      <c r="K7" s="497"/>
    </row>
    <row r="8" spans="1:13" ht="13">
      <c r="A8" s="13" t="s">
        <v>31</v>
      </c>
      <c r="B8" s="13" t="s">
        <v>33</v>
      </c>
      <c r="C8" s="13" t="s">
        <v>34</v>
      </c>
      <c r="D8" s="13" t="s">
        <v>35</v>
      </c>
      <c r="E8" s="13" t="s">
        <v>36</v>
      </c>
      <c r="F8" s="13" t="s">
        <v>38</v>
      </c>
      <c r="G8" s="13" t="s">
        <v>39</v>
      </c>
      <c r="H8" s="13" t="s">
        <v>42</v>
      </c>
      <c r="I8" s="13" t="s">
        <v>43</v>
      </c>
      <c r="J8" s="13" t="s">
        <v>44</v>
      </c>
      <c r="K8" s="13" t="s">
        <v>46</v>
      </c>
    </row>
    <row r="9" spans="1:13" ht="13">
      <c r="A9" s="20" t="s">
        <v>55</v>
      </c>
      <c r="B9" s="20" t="s">
        <v>56</v>
      </c>
      <c r="C9" s="24" t="s">
        <v>57</v>
      </c>
      <c r="D9" s="20" t="s">
        <v>60</v>
      </c>
      <c r="E9" s="20" t="s">
        <v>62</v>
      </c>
      <c r="F9" s="20" t="s">
        <v>63</v>
      </c>
      <c r="G9" s="27"/>
      <c r="H9" s="20" t="s">
        <v>67</v>
      </c>
      <c r="I9" s="20" t="s">
        <v>69</v>
      </c>
      <c r="J9" s="20">
        <v>36</v>
      </c>
      <c r="K9" s="35" t="s">
        <v>72</v>
      </c>
    </row>
    <row r="10" spans="1:13" ht="13">
      <c r="A10" s="20" t="s">
        <v>55</v>
      </c>
      <c r="B10" s="20" t="s">
        <v>56</v>
      </c>
      <c r="C10" s="24" t="s">
        <v>80</v>
      </c>
      <c r="D10" s="20" t="s">
        <v>60</v>
      </c>
      <c r="E10" s="20" t="s">
        <v>81</v>
      </c>
      <c r="F10" s="20" t="s">
        <v>82</v>
      </c>
      <c r="G10" s="27">
        <v>46191</v>
      </c>
      <c r="H10" s="20">
        <v>509</v>
      </c>
      <c r="I10" s="20" t="s">
        <v>69</v>
      </c>
      <c r="J10" s="20">
        <v>13</v>
      </c>
      <c r="K10" s="35" t="s">
        <v>83</v>
      </c>
    </row>
    <row r="11" spans="1:13" ht="13">
      <c r="A11" s="46" t="s">
        <v>55</v>
      </c>
      <c r="B11" s="46" t="s">
        <v>56</v>
      </c>
      <c r="C11" s="49" t="s">
        <v>88</v>
      </c>
      <c r="D11" s="46" t="s">
        <v>69</v>
      </c>
      <c r="E11" s="46" t="s">
        <v>89</v>
      </c>
      <c r="F11" s="46" t="s">
        <v>90</v>
      </c>
      <c r="G11" s="50">
        <v>46200</v>
      </c>
      <c r="H11" s="32">
        <v>1643</v>
      </c>
      <c r="I11" s="51" t="s">
        <v>69</v>
      </c>
      <c r="J11" s="53">
        <v>43</v>
      </c>
      <c r="K11" s="55" t="s">
        <v>91</v>
      </c>
    </row>
    <row r="12" spans="1:13" ht="13">
      <c r="A12" s="56" t="s">
        <v>55</v>
      </c>
      <c r="B12" s="56" t="s">
        <v>95</v>
      </c>
      <c r="C12" s="58" t="s">
        <v>96</v>
      </c>
      <c r="D12" s="56" t="s">
        <v>28</v>
      </c>
      <c r="E12" s="56" t="s">
        <v>98</v>
      </c>
      <c r="F12" s="56" t="s">
        <v>99</v>
      </c>
      <c r="G12" s="50">
        <v>46199</v>
      </c>
      <c r="I12" s="51" t="s">
        <v>69</v>
      </c>
      <c r="J12" s="53">
        <v>33</v>
      </c>
      <c r="K12" s="60" t="s">
        <v>101</v>
      </c>
    </row>
    <row r="13" spans="1:13" ht="13">
      <c r="A13" s="46" t="s">
        <v>55</v>
      </c>
      <c r="B13" s="46" t="s">
        <v>95</v>
      </c>
      <c r="C13" s="49" t="s">
        <v>103</v>
      </c>
      <c r="D13" s="46" t="s">
        <v>28</v>
      </c>
      <c r="E13" s="46" t="s">
        <v>104</v>
      </c>
      <c r="F13" s="46" t="s">
        <v>105</v>
      </c>
      <c r="G13" s="50">
        <v>46199</v>
      </c>
      <c r="H13" s="46" t="s">
        <v>69</v>
      </c>
      <c r="I13" s="46" t="s">
        <v>69</v>
      </c>
      <c r="J13" s="46">
        <v>3</v>
      </c>
      <c r="K13" s="68" t="s">
        <v>107</v>
      </c>
      <c r="L13" s="44"/>
      <c r="M13" s="44"/>
    </row>
    <row r="14" spans="1:13" ht="13">
      <c r="K14" s="6"/>
    </row>
    <row r="15" spans="1:13" ht="13">
      <c r="K15" s="6"/>
    </row>
    <row r="16" spans="1:13" ht="13">
      <c r="A16" s="1" t="s">
        <v>58</v>
      </c>
      <c r="K16" s="6"/>
    </row>
    <row r="17" spans="1:26" ht="13">
      <c r="A17" s="495" t="s">
        <v>113</v>
      </c>
      <c r="B17" s="496"/>
      <c r="C17" s="496"/>
      <c r="D17" s="496"/>
      <c r="E17" s="496"/>
      <c r="F17" s="496"/>
      <c r="G17" s="496"/>
      <c r="H17" s="496"/>
      <c r="I17" s="496"/>
      <c r="J17" s="496"/>
      <c r="K17" s="497"/>
    </row>
    <row r="18" spans="1:26" ht="13">
      <c r="A18" s="13" t="s">
        <v>31</v>
      </c>
      <c r="B18" s="13" t="s">
        <v>33</v>
      </c>
      <c r="C18" s="13" t="s">
        <v>34</v>
      </c>
      <c r="D18" s="13" t="s">
        <v>35</v>
      </c>
      <c r="E18" s="13" t="s">
        <v>36</v>
      </c>
      <c r="F18" s="13" t="s">
        <v>38</v>
      </c>
      <c r="G18" s="13" t="s">
        <v>39</v>
      </c>
      <c r="H18" s="13" t="s">
        <v>42</v>
      </c>
      <c r="I18" s="13" t="s">
        <v>43</v>
      </c>
      <c r="J18" s="13" t="s">
        <v>44</v>
      </c>
      <c r="K18" s="13" t="s">
        <v>46</v>
      </c>
    </row>
    <row r="19" spans="1:26" ht="13">
      <c r="A19" s="20" t="s">
        <v>55</v>
      </c>
      <c r="B19" s="20" t="s">
        <v>56</v>
      </c>
      <c r="C19" s="24" t="s">
        <v>116</v>
      </c>
      <c r="D19" s="20" t="s">
        <v>117</v>
      </c>
      <c r="E19" s="20" t="s">
        <v>118</v>
      </c>
      <c r="F19" s="20" t="s">
        <v>119</v>
      </c>
      <c r="G19" s="20" t="s">
        <v>63</v>
      </c>
      <c r="H19" s="20" t="s">
        <v>120</v>
      </c>
      <c r="I19" s="20" t="s">
        <v>121</v>
      </c>
      <c r="J19" s="20" t="s">
        <v>122</v>
      </c>
      <c r="K19" s="35" t="s">
        <v>92</v>
      </c>
    </row>
    <row r="20" spans="1:26" ht="13">
      <c r="A20" s="20" t="s">
        <v>55</v>
      </c>
      <c r="B20" s="20" t="s">
        <v>56</v>
      </c>
      <c r="C20" s="24" t="s">
        <v>108</v>
      </c>
      <c r="D20" s="20" t="s">
        <v>60</v>
      </c>
      <c r="E20" s="20" t="s">
        <v>130</v>
      </c>
      <c r="F20" s="20" t="s">
        <v>119</v>
      </c>
      <c r="G20" s="20" t="s">
        <v>69</v>
      </c>
      <c r="H20" s="20" t="s">
        <v>131</v>
      </c>
      <c r="I20" s="20" t="s">
        <v>121</v>
      </c>
      <c r="J20" s="20">
        <v>80</v>
      </c>
      <c r="K20" s="35" t="s">
        <v>123</v>
      </c>
    </row>
    <row r="21" spans="1:26" ht="13">
      <c r="A21" s="20" t="s">
        <v>55</v>
      </c>
      <c r="B21" s="20" t="s">
        <v>56</v>
      </c>
      <c r="C21" s="24" t="s">
        <v>125</v>
      </c>
      <c r="D21" s="20" t="s">
        <v>117</v>
      </c>
      <c r="E21" s="20" t="s">
        <v>134</v>
      </c>
      <c r="F21" s="20" t="s">
        <v>135</v>
      </c>
      <c r="G21" s="20" t="s">
        <v>136</v>
      </c>
      <c r="H21" s="20" t="s">
        <v>137</v>
      </c>
      <c r="I21" s="20" t="s">
        <v>121</v>
      </c>
      <c r="J21" s="20" t="s">
        <v>139</v>
      </c>
      <c r="K21" s="35" t="s">
        <v>138</v>
      </c>
    </row>
    <row r="22" spans="1:26" ht="13">
      <c r="A22" s="20" t="s">
        <v>55</v>
      </c>
      <c r="B22" s="20" t="s">
        <v>56</v>
      </c>
      <c r="C22" s="24" t="s">
        <v>142</v>
      </c>
      <c r="D22" s="20" t="s">
        <v>117</v>
      </c>
      <c r="E22" s="20" t="s">
        <v>143</v>
      </c>
      <c r="F22" s="20" t="s">
        <v>144</v>
      </c>
      <c r="G22" s="20" t="s">
        <v>145</v>
      </c>
      <c r="H22" s="20" t="s">
        <v>146</v>
      </c>
      <c r="I22" s="20" t="s">
        <v>121</v>
      </c>
      <c r="J22" s="20" t="s">
        <v>147</v>
      </c>
      <c r="K22" s="35" t="s">
        <v>148</v>
      </c>
    </row>
    <row r="23" spans="1:26" ht="13">
      <c r="A23" s="20" t="s">
        <v>55</v>
      </c>
      <c r="B23" s="20" t="s">
        <v>56</v>
      </c>
      <c r="C23" s="24" t="s">
        <v>152</v>
      </c>
      <c r="D23" s="20" t="s">
        <v>117</v>
      </c>
      <c r="E23" s="20" t="s">
        <v>153</v>
      </c>
      <c r="F23" s="20" t="s">
        <v>144</v>
      </c>
      <c r="G23" s="20" t="s">
        <v>82</v>
      </c>
      <c r="H23" s="20" t="s">
        <v>154</v>
      </c>
      <c r="I23" s="20" t="s">
        <v>155</v>
      </c>
      <c r="J23" s="20" t="s">
        <v>122</v>
      </c>
      <c r="K23" s="35" t="s">
        <v>156</v>
      </c>
    </row>
    <row r="24" spans="1:26" ht="13">
      <c r="A24" s="20" t="s">
        <v>55</v>
      </c>
      <c r="B24" s="20" t="s">
        <v>56</v>
      </c>
      <c r="C24" s="24" t="s">
        <v>159</v>
      </c>
      <c r="D24" s="20" t="s">
        <v>60</v>
      </c>
      <c r="E24" s="20" t="s">
        <v>160</v>
      </c>
      <c r="F24" s="20" t="s">
        <v>136</v>
      </c>
      <c r="G24" s="20" t="s">
        <v>69</v>
      </c>
      <c r="H24" s="20" t="s">
        <v>161</v>
      </c>
      <c r="I24" s="20" t="s">
        <v>162</v>
      </c>
      <c r="J24" s="20" t="s">
        <v>163</v>
      </c>
      <c r="K24" s="35" t="s">
        <v>164</v>
      </c>
    </row>
    <row r="25" spans="1:26" ht="13">
      <c r="A25" s="46" t="s">
        <v>55</v>
      </c>
      <c r="B25" s="46" t="s">
        <v>56</v>
      </c>
      <c r="C25" s="49" t="s">
        <v>167</v>
      </c>
      <c r="D25" s="46" t="s">
        <v>69</v>
      </c>
      <c r="E25" s="46" t="s">
        <v>168</v>
      </c>
      <c r="F25" s="46" t="s">
        <v>169</v>
      </c>
      <c r="G25" s="50">
        <v>46206</v>
      </c>
      <c r="H25" s="53">
        <v>707</v>
      </c>
      <c r="I25" s="84"/>
      <c r="J25" s="53">
        <v>30</v>
      </c>
      <c r="K25" s="86" t="s">
        <v>170</v>
      </c>
      <c r="L25" s="44"/>
    </row>
    <row r="26" spans="1:26" ht="13">
      <c r="A26" s="56" t="s">
        <v>55</v>
      </c>
      <c r="B26" s="56" t="s">
        <v>56</v>
      </c>
      <c r="C26" s="58" t="s">
        <v>173</v>
      </c>
      <c r="D26" s="56" t="s">
        <v>69</v>
      </c>
      <c r="E26" s="56" t="s">
        <v>175</v>
      </c>
      <c r="F26" s="56" t="s">
        <v>169</v>
      </c>
      <c r="G26" s="27">
        <v>46199</v>
      </c>
      <c r="H26" s="56">
        <v>2013</v>
      </c>
      <c r="I26" s="56">
        <v>36</v>
      </c>
      <c r="J26" s="56">
        <v>69</v>
      </c>
      <c r="K26" s="68" t="s">
        <v>177</v>
      </c>
    </row>
    <row r="27" spans="1:26" ht="27.7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27.75" customHeight="1">
      <c r="A28" s="98" t="s">
        <v>51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27.75" customHeight="1">
      <c r="A29" s="495" t="s">
        <v>184</v>
      </c>
      <c r="B29" s="496"/>
      <c r="C29" s="496"/>
      <c r="D29" s="496"/>
      <c r="E29" s="496"/>
      <c r="F29" s="496"/>
      <c r="G29" s="496"/>
      <c r="H29" s="496"/>
      <c r="I29" s="496"/>
      <c r="J29" s="496"/>
      <c r="K29" s="4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>
      <c r="A30" s="13" t="s">
        <v>31</v>
      </c>
      <c r="B30" s="13" t="s">
        <v>33</v>
      </c>
      <c r="C30" s="13" t="s">
        <v>34</v>
      </c>
      <c r="D30" s="13" t="s">
        <v>35</v>
      </c>
      <c r="E30" s="13" t="s">
        <v>36</v>
      </c>
      <c r="F30" s="13" t="s">
        <v>38</v>
      </c>
      <c r="G30" s="13" t="s">
        <v>39</v>
      </c>
      <c r="H30" s="13" t="s">
        <v>42</v>
      </c>
      <c r="I30" s="13" t="s">
        <v>43</v>
      </c>
      <c r="J30" s="13" t="s">
        <v>44</v>
      </c>
      <c r="K30" s="13" t="s">
        <v>46</v>
      </c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>
      <c r="A31" s="20" t="s">
        <v>55</v>
      </c>
      <c r="B31" s="20" t="s">
        <v>56</v>
      </c>
      <c r="C31" s="24" t="s">
        <v>188</v>
      </c>
      <c r="D31" s="20" t="s">
        <v>117</v>
      </c>
      <c r="E31" s="20" t="s">
        <v>69</v>
      </c>
      <c r="F31" s="20" t="s">
        <v>190</v>
      </c>
      <c r="G31" s="20" t="s">
        <v>191</v>
      </c>
      <c r="H31" s="20" t="s">
        <v>192</v>
      </c>
      <c r="I31" s="20" t="s">
        <v>121</v>
      </c>
      <c r="J31" s="20" t="s">
        <v>193</v>
      </c>
      <c r="K31" s="24" t="s">
        <v>194</v>
      </c>
      <c r="L31" s="104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>
      <c r="A32" s="20" t="s">
        <v>55</v>
      </c>
      <c r="B32" s="20" t="s">
        <v>56</v>
      </c>
      <c r="C32" s="24" t="s">
        <v>195</v>
      </c>
      <c r="D32" s="20" t="s">
        <v>117</v>
      </c>
      <c r="E32" s="20" t="s">
        <v>69</v>
      </c>
      <c r="F32" s="20" t="s">
        <v>196</v>
      </c>
      <c r="G32" s="20" t="s">
        <v>198</v>
      </c>
      <c r="H32" s="20" t="s">
        <v>199</v>
      </c>
      <c r="I32" s="20" t="s">
        <v>69</v>
      </c>
      <c r="J32" s="20" t="s">
        <v>200</v>
      </c>
      <c r="K32" s="24" t="s">
        <v>202</v>
      </c>
      <c r="L32" s="105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>
      <c r="A33" s="20" t="s">
        <v>55</v>
      </c>
      <c r="B33" s="20" t="s">
        <v>56</v>
      </c>
      <c r="C33" s="24" t="s">
        <v>203</v>
      </c>
      <c r="D33" s="20" t="s">
        <v>117</v>
      </c>
      <c r="E33" s="20" t="s">
        <v>69</v>
      </c>
      <c r="F33" s="20" t="s">
        <v>204</v>
      </c>
      <c r="G33" s="20" t="s">
        <v>205</v>
      </c>
      <c r="H33" s="20" t="s">
        <v>206</v>
      </c>
      <c r="I33" s="20" t="s">
        <v>162</v>
      </c>
      <c r="J33" s="20" t="s">
        <v>207</v>
      </c>
      <c r="K33" s="24" t="s">
        <v>209</v>
      </c>
      <c r="L33" s="10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>
      <c r="A34" s="20" t="s">
        <v>55</v>
      </c>
      <c r="B34" s="20" t="s">
        <v>56</v>
      </c>
      <c r="C34" s="24" t="s">
        <v>211</v>
      </c>
      <c r="D34" s="20" t="s">
        <v>117</v>
      </c>
      <c r="E34" s="20" t="s">
        <v>69</v>
      </c>
      <c r="F34" s="20" t="s">
        <v>204</v>
      </c>
      <c r="G34" s="20" t="s">
        <v>213</v>
      </c>
      <c r="H34" s="20" t="s">
        <v>214</v>
      </c>
      <c r="I34" s="20" t="s">
        <v>155</v>
      </c>
      <c r="J34" s="20" t="s">
        <v>215</v>
      </c>
      <c r="K34" s="24" t="s">
        <v>216</v>
      </c>
      <c r="L34" s="108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>
      <c r="A35" s="20" t="s">
        <v>55</v>
      </c>
      <c r="B35" s="20" t="s">
        <v>56</v>
      </c>
      <c r="C35" s="24" t="s">
        <v>219</v>
      </c>
      <c r="D35" s="20" t="s">
        <v>117</v>
      </c>
      <c r="E35" s="20" t="s">
        <v>69</v>
      </c>
      <c r="F35" s="20" t="s">
        <v>220</v>
      </c>
      <c r="G35" s="20" t="s">
        <v>213</v>
      </c>
      <c r="H35" s="20" t="s">
        <v>221</v>
      </c>
      <c r="I35" s="20" t="s">
        <v>222</v>
      </c>
      <c r="J35" s="20" t="s">
        <v>223</v>
      </c>
      <c r="K35" s="24" t="s">
        <v>224</v>
      </c>
      <c r="L35" s="109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>
      <c r="A36" s="20" t="s">
        <v>55</v>
      </c>
      <c r="B36" s="20" t="s">
        <v>56</v>
      </c>
      <c r="C36" s="24" t="s">
        <v>226</v>
      </c>
      <c r="D36" s="20" t="s">
        <v>117</v>
      </c>
      <c r="E36" s="20" t="s">
        <v>69</v>
      </c>
      <c r="F36" s="20" t="s">
        <v>227</v>
      </c>
      <c r="G36" s="20" t="s">
        <v>191</v>
      </c>
      <c r="H36" s="20" t="s">
        <v>228</v>
      </c>
      <c r="I36" s="20" t="s">
        <v>229</v>
      </c>
      <c r="J36" s="20" t="s">
        <v>230</v>
      </c>
      <c r="K36" s="24" t="s">
        <v>231</v>
      </c>
      <c r="L36" s="108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>
      <c r="A37" s="20" t="s">
        <v>55</v>
      </c>
      <c r="B37" s="20" t="s">
        <v>56</v>
      </c>
      <c r="C37" s="24" t="s">
        <v>234</v>
      </c>
      <c r="D37" s="20" t="s">
        <v>117</v>
      </c>
      <c r="E37" s="20" t="s">
        <v>69</v>
      </c>
      <c r="F37" s="20" t="s">
        <v>198</v>
      </c>
      <c r="G37" s="20" t="s">
        <v>213</v>
      </c>
      <c r="H37" s="20" t="s">
        <v>235</v>
      </c>
      <c r="I37" s="20" t="s">
        <v>236</v>
      </c>
      <c r="J37" s="20" t="s">
        <v>237</v>
      </c>
      <c r="K37" s="24" t="s">
        <v>238</v>
      </c>
      <c r="L37" s="108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>
      <c r="A38" s="20" t="s">
        <v>55</v>
      </c>
      <c r="B38" s="20" t="s">
        <v>56</v>
      </c>
      <c r="C38" s="24" t="s">
        <v>239</v>
      </c>
      <c r="D38" s="20" t="s">
        <v>117</v>
      </c>
      <c r="E38" s="20" t="s">
        <v>69</v>
      </c>
      <c r="F38" s="20" t="s">
        <v>205</v>
      </c>
      <c r="G38" s="20" t="s">
        <v>240</v>
      </c>
      <c r="H38" s="20" t="s">
        <v>242</v>
      </c>
      <c r="I38" s="20" t="s">
        <v>162</v>
      </c>
      <c r="J38" s="20" t="s">
        <v>243</v>
      </c>
      <c r="K38" s="24" t="s">
        <v>244</v>
      </c>
      <c r="L38" s="104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>
      <c r="A39" s="20" t="s">
        <v>55</v>
      </c>
      <c r="B39" s="20" t="s">
        <v>56</v>
      </c>
      <c r="C39" s="24" t="s">
        <v>245</v>
      </c>
      <c r="D39" s="20" t="s">
        <v>117</v>
      </c>
      <c r="E39" s="20" t="s">
        <v>69</v>
      </c>
      <c r="F39" s="20" t="s">
        <v>246</v>
      </c>
      <c r="G39" s="20" t="s">
        <v>247</v>
      </c>
      <c r="H39" s="20" t="s">
        <v>248</v>
      </c>
      <c r="I39" s="20" t="s">
        <v>121</v>
      </c>
      <c r="J39" s="20" t="s">
        <v>249</v>
      </c>
      <c r="K39" s="24" t="s">
        <v>250</v>
      </c>
      <c r="L39" s="111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>
      <c r="A40" s="20" t="s">
        <v>55</v>
      </c>
      <c r="B40" s="20" t="s">
        <v>56</v>
      </c>
      <c r="C40" s="24" t="s">
        <v>255</v>
      </c>
      <c r="D40" s="20" t="s">
        <v>117</v>
      </c>
      <c r="E40" s="20" t="s">
        <v>69</v>
      </c>
      <c r="F40" s="20" t="s">
        <v>257</v>
      </c>
      <c r="G40" s="20" t="s">
        <v>258</v>
      </c>
      <c r="H40" s="20" t="s">
        <v>259</v>
      </c>
      <c r="I40" s="20" t="s">
        <v>260</v>
      </c>
      <c r="J40" s="20" t="s">
        <v>262</v>
      </c>
      <c r="K40" s="24" t="s">
        <v>265</v>
      </c>
      <c r="L40" s="115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>
      <c r="A41" s="117"/>
      <c r="B41" s="117"/>
      <c r="C41" s="119"/>
      <c r="D41" s="117"/>
      <c r="E41" s="117"/>
      <c r="F41" s="117"/>
      <c r="G41" s="117"/>
      <c r="H41" s="117"/>
      <c r="I41" s="117"/>
      <c r="J41" s="117"/>
      <c r="K41" s="119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>
      <c r="A42" s="117"/>
      <c r="B42" s="117"/>
      <c r="C42" s="119"/>
      <c r="D42" s="117"/>
      <c r="E42" s="117"/>
      <c r="F42" s="117"/>
      <c r="G42" s="117"/>
      <c r="H42" s="117"/>
      <c r="I42" s="117"/>
      <c r="J42" s="117"/>
      <c r="K42" s="119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>
      <c r="A43" s="128"/>
      <c r="B43" s="128"/>
      <c r="C43" s="129"/>
      <c r="D43" s="128"/>
      <c r="E43" s="128"/>
      <c r="F43" s="128"/>
      <c r="G43" s="128"/>
      <c r="H43" s="128"/>
      <c r="I43" s="128"/>
      <c r="J43" s="128"/>
      <c r="K43" s="129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>
      <c r="A44" s="128"/>
      <c r="B44" s="128"/>
      <c r="C44" s="129"/>
      <c r="D44" s="128"/>
      <c r="E44" s="128"/>
      <c r="F44" s="128"/>
      <c r="G44" s="128"/>
      <c r="H44" s="128"/>
      <c r="I44" s="128"/>
      <c r="J44" s="128"/>
      <c r="K44" s="129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>
      <c r="A45" s="495" t="s">
        <v>281</v>
      </c>
      <c r="B45" s="496"/>
      <c r="C45" s="496"/>
      <c r="D45" s="496"/>
      <c r="E45" s="496"/>
      <c r="F45" s="496"/>
      <c r="G45" s="496"/>
      <c r="H45" s="496"/>
      <c r="I45" s="496"/>
      <c r="J45" s="496"/>
      <c r="K45" s="4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>
      <c r="A46" s="13" t="s">
        <v>31</v>
      </c>
      <c r="B46" s="13" t="s">
        <v>33</v>
      </c>
      <c r="C46" s="13" t="s">
        <v>34</v>
      </c>
      <c r="D46" s="13" t="s">
        <v>35</v>
      </c>
      <c r="E46" s="13" t="s">
        <v>36</v>
      </c>
      <c r="F46" s="13" t="s">
        <v>38</v>
      </c>
      <c r="G46" s="13" t="s">
        <v>39</v>
      </c>
      <c r="H46" s="13" t="s">
        <v>42</v>
      </c>
      <c r="I46" s="13" t="s">
        <v>43</v>
      </c>
      <c r="J46" s="13" t="s">
        <v>44</v>
      </c>
      <c r="K46" s="13" t="s">
        <v>46</v>
      </c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>
      <c r="A47" s="20" t="s">
        <v>55</v>
      </c>
      <c r="B47" s="20" t="s">
        <v>56</v>
      </c>
      <c r="C47" s="24" t="s">
        <v>288</v>
      </c>
      <c r="D47" s="20" t="s">
        <v>117</v>
      </c>
      <c r="E47" s="20" t="s">
        <v>69</v>
      </c>
      <c r="F47" s="20" t="s">
        <v>289</v>
      </c>
      <c r="G47" s="20" t="s">
        <v>290</v>
      </c>
      <c r="H47" s="20" t="s">
        <v>291</v>
      </c>
      <c r="I47" s="20" t="s">
        <v>260</v>
      </c>
      <c r="J47" s="20" t="s">
        <v>292</v>
      </c>
      <c r="K47" s="24" t="s">
        <v>293</v>
      </c>
      <c r="L47" s="134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>
      <c r="A48" s="20" t="s">
        <v>55</v>
      </c>
      <c r="B48" s="20" t="s">
        <v>56</v>
      </c>
      <c r="C48" s="24" t="s">
        <v>299</v>
      </c>
      <c r="D48" s="20" t="s">
        <v>117</v>
      </c>
      <c r="E48" s="20" t="s">
        <v>69</v>
      </c>
      <c r="F48" s="20" t="s">
        <v>300</v>
      </c>
      <c r="G48" s="20" t="s">
        <v>301</v>
      </c>
      <c r="H48" s="20" t="s">
        <v>302</v>
      </c>
      <c r="I48" s="20" t="s">
        <v>200</v>
      </c>
      <c r="J48" s="20" t="s">
        <v>223</v>
      </c>
      <c r="K48" s="24" t="s">
        <v>303</v>
      </c>
      <c r="L48" s="134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>
      <c r="A49" s="20" t="s">
        <v>55</v>
      </c>
      <c r="B49" s="20" t="s">
        <v>56</v>
      </c>
      <c r="C49" s="24" t="s">
        <v>305</v>
      </c>
      <c r="D49" s="20" t="s">
        <v>117</v>
      </c>
      <c r="E49" s="20" t="s">
        <v>69</v>
      </c>
      <c r="F49" s="20" t="s">
        <v>307</v>
      </c>
      <c r="G49" s="20" t="s">
        <v>309</v>
      </c>
      <c r="H49" s="20" t="s">
        <v>310</v>
      </c>
      <c r="I49" s="20" t="s">
        <v>311</v>
      </c>
      <c r="J49" s="20" t="s">
        <v>312</v>
      </c>
      <c r="K49" s="24" t="s">
        <v>313</v>
      </c>
      <c r="L49" s="139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>
      <c r="A50" s="20" t="s">
        <v>55</v>
      </c>
      <c r="B50" s="20" t="s">
        <v>56</v>
      </c>
      <c r="C50" s="24" t="s">
        <v>315</v>
      </c>
      <c r="D50" s="20" t="s">
        <v>117</v>
      </c>
      <c r="E50" s="20" t="s">
        <v>69</v>
      </c>
      <c r="F50" s="20" t="s">
        <v>316</v>
      </c>
      <c r="G50" s="20" t="s">
        <v>317</v>
      </c>
      <c r="H50" s="20" t="s">
        <v>318</v>
      </c>
      <c r="I50" s="20" t="s">
        <v>69</v>
      </c>
      <c r="J50" s="20" t="s">
        <v>69</v>
      </c>
      <c r="K50" s="24" t="s">
        <v>320</v>
      </c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>
      <c r="A51" s="20" t="s">
        <v>55</v>
      </c>
      <c r="B51" s="20" t="s">
        <v>56</v>
      </c>
      <c r="C51" s="24" t="s">
        <v>323</v>
      </c>
      <c r="D51" s="20" t="s">
        <v>60</v>
      </c>
      <c r="E51" s="20" t="s">
        <v>69</v>
      </c>
      <c r="F51" s="20" t="s">
        <v>324</v>
      </c>
      <c r="G51" s="20" t="s">
        <v>69</v>
      </c>
      <c r="H51" s="20" t="s">
        <v>326</v>
      </c>
      <c r="I51" s="20" t="s">
        <v>69</v>
      </c>
      <c r="J51" s="20" t="s">
        <v>69</v>
      </c>
      <c r="K51" s="24" t="s">
        <v>328</v>
      </c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3">
      <c r="K52" s="6"/>
    </row>
    <row r="53" spans="1:26" ht="13">
      <c r="K53" s="6"/>
    </row>
    <row r="54" spans="1:26" ht="13">
      <c r="K54" s="6"/>
    </row>
    <row r="55" spans="1:26" ht="13">
      <c r="K55" s="6"/>
    </row>
    <row r="56" spans="1:26" ht="13">
      <c r="K56" s="6"/>
    </row>
    <row r="57" spans="1:26" ht="13">
      <c r="A57" s="495" t="s">
        <v>334</v>
      </c>
      <c r="B57" s="496"/>
      <c r="C57" s="496"/>
      <c r="D57" s="496"/>
      <c r="E57" s="496"/>
      <c r="F57" s="496"/>
      <c r="G57" s="496"/>
      <c r="H57" s="496"/>
      <c r="I57" s="496"/>
      <c r="J57" s="496"/>
      <c r="K57" s="497"/>
    </row>
    <row r="58" spans="1:26" ht="13">
      <c r="A58" s="13" t="s">
        <v>31</v>
      </c>
      <c r="B58" s="13" t="s">
        <v>33</v>
      </c>
      <c r="C58" s="13" t="s">
        <v>34</v>
      </c>
      <c r="D58" s="13" t="s">
        <v>35</v>
      </c>
      <c r="E58" s="13" t="s">
        <v>36</v>
      </c>
      <c r="F58" s="13" t="s">
        <v>38</v>
      </c>
      <c r="G58" s="13" t="s">
        <v>39</v>
      </c>
      <c r="H58" s="13" t="s">
        <v>42</v>
      </c>
      <c r="I58" s="13" t="s">
        <v>43</v>
      </c>
      <c r="J58" s="13" t="s">
        <v>44</v>
      </c>
      <c r="K58" s="13" t="s">
        <v>46</v>
      </c>
    </row>
    <row r="59" spans="1:26" ht="13">
      <c r="A59" s="20" t="s">
        <v>55</v>
      </c>
      <c r="B59" s="20" t="s">
        <v>56</v>
      </c>
      <c r="C59" s="24" t="s">
        <v>338</v>
      </c>
      <c r="D59" s="20" t="s">
        <v>117</v>
      </c>
      <c r="E59" s="20" t="s">
        <v>339</v>
      </c>
      <c r="F59" s="20" t="s">
        <v>135</v>
      </c>
      <c r="G59" s="20" t="s">
        <v>340</v>
      </c>
      <c r="H59" s="20" t="s">
        <v>342</v>
      </c>
      <c r="I59" s="20" t="s">
        <v>222</v>
      </c>
      <c r="J59" s="20" t="s">
        <v>343</v>
      </c>
      <c r="K59" s="24" t="s">
        <v>344</v>
      </c>
    </row>
    <row r="60" spans="1:26" ht="13">
      <c r="A60" s="20" t="s">
        <v>55</v>
      </c>
      <c r="B60" s="20" t="s">
        <v>56</v>
      </c>
      <c r="C60" s="24" t="s">
        <v>345</v>
      </c>
      <c r="D60" s="20" t="s">
        <v>117</v>
      </c>
      <c r="E60" s="20" t="s">
        <v>346</v>
      </c>
      <c r="F60" s="20" t="s">
        <v>347</v>
      </c>
      <c r="G60" s="20" t="s">
        <v>349</v>
      </c>
      <c r="H60" s="20" t="s">
        <v>350</v>
      </c>
      <c r="I60" s="20" t="s">
        <v>200</v>
      </c>
      <c r="J60" s="20" t="s">
        <v>351</v>
      </c>
      <c r="K60" s="24" t="s">
        <v>352</v>
      </c>
    </row>
    <row r="61" spans="1:26" ht="13">
      <c r="A61" s="46" t="s">
        <v>55</v>
      </c>
      <c r="B61" s="46" t="s">
        <v>56</v>
      </c>
      <c r="C61" s="146" t="s">
        <v>354</v>
      </c>
      <c r="D61" s="46" t="s">
        <v>69</v>
      </c>
      <c r="E61" s="46" t="s">
        <v>355</v>
      </c>
      <c r="F61" s="46" t="s">
        <v>356</v>
      </c>
      <c r="G61" s="46" t="s">
        <v>69</v>
      </c>
      <c r="H61" s="46" t="s">
        <v>69</v>
      </c>
      <c r="I61" s="46" t="s">
        <v>69</v>
      </c>
      <c r="J61" s="46" t="s">
        <v>69</v>
      </c>
      <c r="K61" s="49" t="s">
        <v>69</v>
      </c>
    </row>
    <row r="62" spans="1:26" ht="13">
      <c r="A62" s="56" t="s">
        <v>55</v>
      </c>
      <c r="B62" s="56" t="s">
        <v>95</v>
      </c>
      <c r="C62" s="58" t="s">
        <v>363</v>
      </c>
      <c r="D62" s="56" t="s">
        <v>28</v>
      </c>
      <c r="E62" s="56" t="s">
        <v>367</v>
      </c>
      <c r="F62" s="56" t="s">
        <v>349</v>
      </c>
      <c r="G62" s="27">
        <v>46199</v>
      </c>
      <c r="H62" s="56" t="s">
        <v>69</v>
      </c>
      <c r="I62" s="56" t="s">
        <v>69</v>
      </c>
      <c r="J62" s="53">
        <v>212</v>
      </c>
      <c r="K62" s="60" t="s">
        <v>368</v>
      </c>
      <c r="N62" s="57"/>
    </row>
    <row r="63" spans="1:26" ht="13">
      <c r="A63" s="46" t="s">
        <v>55</v>
      </c>
      <c r="B63" s="46" t="s">
        <v>95</v>
      </c>
      <c r="C63" s="49" t="s">
        <v>369</v>
      </c>
      <c r="D63" s="46" t="s">
        <v>28</v>
      </c>
      <c r="E63" s="46" t="s">
        <v>372</v>
      </c>
      <c r="F63" s="46" t="s">
        <v>373</v>
      </c>
      <c r="G63" s="27">
        <v>46197</v>
      </c>
      <c r="H63" s="56" t="s">
        <v>69</v>
      </c>
      <c r="I63" s="56" t="s">
        <v>69</v>
      </c>
      <c r="J63" s="53">
        <v>40</v>
      </c>
      <c r="K63" s="68" t="s">
        <v>374</v>
      </c>
    </row>
    <row r="64" spans="1:26" ht="13">
      <c r="K64" s="6"/>
    </row>
    <row r="65" spans="1:11" ht="13">
      <c r="A65" s="1" t="s">
        <v>18</v>
      </c>
      <c r="K65" s="6"/>
    </row>
    <row r="66" spans="1:11" ht="13">
      <c r="A66" s="495" t="s">
        <v>381</v>
      </c>
      <c r="B66" s="496"/>
      <c r="C66" s="496"/>
      <c r="D66" s="496"/>
      <c r="E66" s="496"/>
      <c r="F66" s="496"/>
      <c r="G66" s="496"/>
      <c r="H66" s="496"/>
      <c r="I66" s="496"/>
      <c r="J66" s="496"/>
      <c r="K66" s="497"/>
    </row>
    <row r="67" spans="1:11" ht="13">
      <c r="A67" s="13" t="s">
        <v>31</v>
      </c>
      <c r="B67" s="13" t="s">
        <v>33</v>
      </c>
      <c r="C67" s="13" t="s">
        <v>34</v>
      </c>
      <c r="D67" s="13" t="s">
        <v>35</v>
      </c>
      <c r="E67" s="13" t="s">
        <v>36</v>
      </c>
      <c r="F67" s="13" t="s">
        <v>38</v>
      </c>
      <c r="G67" s="13" t="s">
        <v>39</v>
      </c>
      <c r="H67" s="13" t="s">
        <v>42</v>
      </c>
      <c r="I67" s="13" t="s">
        <v>43</v>
      </c>
      <c r="J67" s="13" t="s">
        <v>44</v>
      </c>
      <c r="K67" s="13" t="s">
        <v>46</v>
      </c>
    </row>
    <row r="68" spans="1:11" ht="13">
      <c r="A68" s="46" t="s">
        <v>55</v>
      </c>
      <c r="B68" s="46" t="s">
        <v>277</v>
      </c>
      <c r="C68" s="49" t="s">
        <v>276</v>
      </c>
      <c r="D68" s="46" t="s">
        <v>60</v>
      </c>
      <c r="E68" s="46" t="s">
        <v>69</v>
      </c>
      <c r="F68" s="46" t="s">
        <v>385</v>
      </c>
      <c r="G68" s="46" t="s">
        <v>386</v>
      </c>
      <c r="H68" s="46" t="s">
        <v>69</v>
      </c>
      <c r="I68" s="46" t="s">
        <v>69</v>
      </c>
      <c r="J68" s="46" t="s">
        <v>69</v>
      </c>
      <c r="K68" s="49" t="s">
        <v>69</v>
      </c>
    </row>
    <row r="69" spans="1:11" ht="13">
      <c r="A69" s="56" t="s">
        <v>55</v>
      </c>
      <c r="B69" s="56" t="s">
        <v>297</v>
      </c>
      <c r="C69" s="58" t="s">
        <v>295</v>
      </c>
      <c r="D69" s="56" t="s">
        <v>60</v>
      </c>
      <c r="E69" s="56" t="s">
        <v>69</v>
      </c>
      <c r="F69" s="56" t="s">
        <v>105</v>
      </c>
      <c r="G69" s="56" t="s">
        <v>386</v>
      </c>
      <c r="H69" s="56" t="s">
        <v>69</v>
      </c>
      <c r="I69" s="56" t="s">
        <v>69</v>
      </c>
      <c r="J69" s="56" t="s">
        <v>69</v>
      </c>
      <c r="K69" s="58" t="s">
        <v>69</v>
      </c>
    </row>
    <row r="70" spans="1:11" ht="13">
      <c r="A70" s="46" t="s">
        <v>55</v>
      </c>
      <c r="B70" s="46" t="s">
        <v>327</v>
      </c>
      <c r="C70" s="49" t="s">
        <v>325</v>
      </c>
      <c r="D70" s="46" t="s">
        <v>60</v>
      </c>
      <c r="E70" s="46" t="s">
        <v>69</v>
      </c>
      <c r="F70" s="46" t="s">
        <v>385</v>
      </c>
      <c r="G70" s="46" t="s">
        <v>386</v>
      </c>
      <c r="H70" s="46" t="s">
        <v>69</v>
      </c>
      <c r="I70" s="46" t="s">
        <v>69</v>
      </c>
      <c r="J70" s="46" t="s">
        <v>69</v>
      </c>
      <c r="K70" s="49" t="s">
        <v>69</v>
      </c>
    </row>
    <row r="71" spans="1:11" ht="13">
      <c r="A71" s="56" t="s">
        <v>55</v>
      </c>
      <c r="B71" s="56" t="s">
        <v>327</v>
      </c>
      <c r="C71" s="58" t="s">
        <v>336</v>
      </c>
      <c r="D71" s="56" t="s">
        <v>60</v>
      </c>
      <c r="E71" s="56" t="s">
        <v>69</v>
      </c>
      <c r="F71" s="56" t="s">
        <v>385</v>
      </c>
      <c r="G71" s="56" t="s">
        <v>386</v>
      </c>
      <c r="H71" s="56" t="s">
        <v>69</v>
      </c>
      <c r="I71" s="56" t="s">
        <v>69</v>
      </c>
      <c r="J71" s="56" t="s">
        <v>69</v>
      </c>
      <c r="K71" s="58" t="s">
        <v>69</v>
      </c>
    </row>
    <row r="72" spans="1:11" ht="13">
      <c r="K72" s="6"/>
    </row>
    <row r="73" spans="1:11" ht="13">
      <c r="K73" s="6"/>
    </row>
    <row r="74" spans="1:11" ht="13">
      <c r="A74" s="1" t="s">
        <v>30</v>
      </c>
      <c r="K74" s="6"/>
    </row>
    <row r="75" spans="1:11" ht="13">
      <c r="A75" s="495" t="s">
        <v>391</v>
      </c>
      <c r="B75" s="496"/>
      <c r="C75" s="496"/>
      <c r="D75" s="496"/>
      <c r="E75" s="496"/>
      <c r="F75" s="496"/>
      <c r="G75" s="496"/>
      <c r="H75" s="496"/>
      <c r="I75" s="496"/>
      <c r="J75" s="496"/>
      <c r="K75" s="497"/>
    </row>
    <row r="76" spans="1:11" ht="13">
      <c r="A76" s="13" t="s">
        <v>31</v>
      </c>
      <c r="B76" s="13" t="s">
        <v>33</v>
      </c>
      <c r="C76" s="13" t="s">
        <v>34</v>
      </c>
      <c r="D76" s="13" t="s">
        <v>35</v>
      </c>
      <c r="E76" s="13" t="s">
        <v>36</v>
      </c>
      <c r="F76" s="13" t="s">
        <v>38</v>
      </c>
      <c r="G76" s="13" t="s">
        <v>39</v>
      </c>
      <c r="H76" s="13" t="s">
        <v>42</v>
      </c>
      <c r="I76" s="13" t="s">
        <v>43</v>
      </c>
      <c r="J76" s="13" t="s">
        <v>44</v>
      </c>
      <c r="K76" s="13" t="s">
        <v>46</v>
      </c>
    </row>
    <row r="77" spans="1:11" ht="13">
      <c r="A77" s="20" t="s">
        <v>55</v>
      </c>
      <c r="B77" s="20" t="s">
        <v>56</v>
      </c>
      <c r="C77" s="24" t="s">
        <v>393</v>
      </c>
      <c r="D77" s="20" t="s">
        <v>117</v>
      </c>
      <c r="E77" s="20" t="s">
        <v>69</v>
      </c>
      <c r="F77" s="20" t="s">
        <v>394</v>
      </c>
      <c r="G77" s="20" t="s">
        <v>395</v>
      </c>
      <c r="H77" s="20" t="s">
        <v>396</v>
      </c>
      <c r="I77" s="20" t="s">
        <v>397</v>
      </c>
      <c r="J77" s="20" t="s">
        <v>398</v>
      </c>
      <c r="K77" s="24" t="s">
        <v>399</v>
      </c>
    </row>
    <row r="78" spans="1:11" ht="13">
      <c r="A78" s="20" t="s">
        <v>55</v>
      </c>
      <c r="B78" s="20" t="s">
        <v>56</v>
      </c>
      <c r="C78" s="24" t="s">
        <v>400</v>
      </c>
      <c r="D78" s="20" t="s">
        <v>117</v>
      </c>
      <c r="E78" s="20" t="s">
        <v>69</v>
      </c>
      <c r="F78" s="20" t="s">
        <v>394</v>
      </c>
      <c r="G78" s="20" t="s">
        <v>401</v>
      </c>
      <c r="H78" s="20" t="s">
        <v>402</v>
      </c>
      <c r="I78" s="20" t="s">
        <v>69</v>
      </c>
      <c r="J78" s="20" t="s">
        <v>403</v>
      </c>
      <c r="K78" s="24" t="s">
        <v>404</v>
      </c>
    </row>
    <row r="79" spans="1:11" ht="13">
      <c r="A79" s="20" t="s">
        <v>55</v>
      </c>
      <c r="B79" s="20" t="s">
        <v>56</v>
      </c>
      <c r="C79" s="24" t="s">
        <v>405</v>
      </c>
      <c r="D79" s="20" t="s">
        <v>117</v>
      </c>
      <c r="E79" s="20" t="s">
        <v>69</v>
      </c>
      <c r="F79" s="20" t="s">
        <v>394</v>
      </c>
      <c r="G79" s="20" t="s">
        <v>406</v>
      </c>
      <c r="H79" s="20" t="s">
        <v>407</v>
      </c>
      <c r="I79" s="20" t="s">
        <v>121</v>
      </c>
      <c r="J79" s="20" t="s">
        <v>408</v>
      </c>
      <c r="K79" s="24" t="s">
        <v>409</v>
      </c>
    </row>
    <row r="80" spans="1:11" ht="13">
      <c r="A80" s="20" t="s">
        <v>55</v>
      </c>
      <c r="B80" s="20" t="s">
        <v>56</v>
      </c>
      <c r="C80" s="24" t="s">
        <v>410</v>
      </c>
      <c r="D80" s="20" t="s">
        <v>117</v>
      </c>
      <c r="E80" s="20" t="s">
        <v>69</v>
      </c>
      <c r="F80" s="20" t="s">
        <v>394</v>
      </c>
      <c r="G80" s="20" t="s">
        <v>411</v>
      </c>
      <c r="H80" s="20" t="s">
        <v>412</v>
      </c>
      <c r="I80" s="20" t="s">
        <v>413</v>
      </c>
      <c r="J80" s="20" t="s">
        <v>414</v>
      </c>
      <c r="K80" s="24" t="s">
        <v>415</v>
      </c>
    </row>
    <row r="81" spans="1:26" ht="13">
      <c r="A81" s="20" t="s">
        <v>55</v>
      </c>
      <c r="B81" s="20" t="s">
        <v>56</v>
      </c>
      <c r="C81" s="24" t="s">
        <v>416</v>
      </c>
      <c r="D81" s="20" t="s">
        <v>117</v>
      </c>
      <c r="E81" s="20" t="s">
        <v>69</v>
      </c>
      <c r="F81" s="20" t="s">
        <v>411</v>
      </c>
      <c r="G81" s="20" t="s">
        <v>220</v>
      </c>
      <c r="H81" s="20" t="s">
        <v>418</v>
      </c>
      <c r="I81" s="20" t="s">
        <v>419</v>
      </c>
      <c r="J81" s="20" t="s">
        <v>420</v>
      </c>
      <c r="K81" s="24" t="s">
        <v>421</v>
      </c>
    </row>
    <row r="82" spans="1:26" ht="13">
      <c r="A82" s="20" t="s">
        <v>55</v>
      </c>
      <c r="B82" s="20" t="s">
        <v>56</v>
      </c>
      <c r="C82" s="24" t="s">
        <v>422</v>
      </c>
      <c r="D82" s="20" t="s">
        <v>117</v>
      </c>
      <c r="E82" s="20" t="s">
        <v>69</v>
      </c>
      <c r="F82" s="20" t="s">
        <v>423</v>
      </c>
      <c r="G82" s="20" t="s">
        <v>196</v>
      </c>
      <c r="H82" s="20" t="s">
        <v>425</v>
      </c>
      <c r="I82" s="20" t="s">
        <v>121</v>
      </c>
      <c r="J82" s="20" t="s">
        <v>426</v>
      </c>
      <c r="K82" s="24" t="s">
        <v>427</v>
      </c>
    </row>
    <row r="83" spans="1:26" ht="13">
      <c r="A83" s="20" t="s">
        <v>55</v>
      </c>
      <c r="B83" s="20" t="s">
        <v>56</v>
      </c>
      <c r="C83" s="24" t="s">
        <v>428</v>
      </c>
      <c r="D83" s="20" t="s">
        <v>117</v>
      </c>
      <c r="E83" s="20" t="s">
        <v>69</v>
      </c>
      <c r="F83" s="20" t="s">
        <v>395</v>
      </c>
      <c r="G83" s="20" t="s">
        <v>429</v>
      </c>
      <c r="H83" s="20" t="s">
        <v>430</v>
      </c>
      <c r="I83" s="20" t="s">
        <v>426</v>
      </c>
      <c r="J83" s="20" t="s">
        <v>139</v>
      </c>
      <c r="K83" s="24" t="s">
        <v>431</v>
      </c>
    </row>
    <row r="84" spans="1:26" ht="13">
      <c r="K84" s="6"/>
    </row>
    <row r="85" spans="1:26" ht="13">
      <c r="K85" s="6"/>
    </row>
    <row r="86" spans="1:26" ht="13">
      <c r="A86" s="495" t="s">
        <v>432</v>
      </c>
      <c r="B86" s="496"/>
      <c r="C86" s="496"/>
      <c r="D86" s="496"/>
      <c r="E86" s="496"/>
      <c r="F86" s="496"/>
      <c r="G86" s="496"/>
      <c r="H86" s="496"/>
      <c r="I86" s="496"/>
      <c r="J86" s="496"/>
      <c r="K86" s="497"/>
    </row>
    <row r="87" spans="1:26" ht="13">
      <c r="A87" s="169" t="s">
        <v>31</v>
      </c>
      <c r="B87" s="169" t="s">
        <v>33</v>
      </c>
      <c r="C87" s="169" t="s">
        <v>34</v>
      </c>
      <c r="D87" s="169" t="s">
        <v>35</v>
      </c>
      <c r="E87" s="169" t="s">
        <v>36</v>
      </c>
      <c r="F87" s="169" t="s">
        <v>38</v>
      </c>
      <c r="G87" s="169" t="s">
        <v>39</v>
      </c>
      <c r="H87" s="169" t="s">
        <v>42</v>
      </c>
      <c r="I87" s="169" t="s">
        <v>43</v>
      </c>
      <c r="J87" s="169" t="s">
        <v>44</v>
      </c>
      <c r="K87" s="169" t="s">
        <v>46</v>
      </c>
    </row>
    <row r="88" spans="1:26" ht="13">
      <c r="A88" s="20" t="s">
        <v>55</v>
      </c>
      <c r="B88" s="20" t="s">
        <v>56</v>
      </c>
      <c r="C88" s="24" t="s">
        <v>434</v>
      </c>
      <c r="D88" s="20" t="s">
        <v>117</v>
      </c>
      <c r="E88" s="20" t="s">
        <v>69</v>
      </c>
      <c r="F88" s="20" t="s">
        <v>435</v>
      </c>
      <c r="G88" s="20" t="s">
        <v>227</v>
      </c>
      <c r="H88" s="20" t="s">
        <v>436</v>
      </c>
      <c r="I88" s="20" t="s">
        <v>426</v>
      </c>
      <c r="J88" s="20" t="s">
        <v>398</v>
      </c>
      <c r="K88" s="24" t="s">
        <v>437</v>
      </c>
    </row>
    <row r="89" spans="1:26" ht="13">
      <c r="A89" s="20" t="s">
        <v>55</v>
      </c>
      <c r="B89" s="20" t="s">
        <v>56</v>
      </c>
      <c r="C89" s="24" t="s">
        <v>438</v>
      </c>
      <c r="D89" s="20" t="s">
        <v>117</v>
      </c>
      <c r="E89" s="20" t="s">
        <v>69</v>
      </c>
      <c r="F89" s="20" t="s">
        <v>190</v>
      </c>
      <c r="G89" s="20" t="s">
        <v>440</v>
      </c>
      <c r="H89" s="20" t="s">
        <v>441</v>
      </c>
      <c r="I89" s="20" t="s">
        <v>69</v>
      </c>
      <c r="J89" s="20" t="s">
        <v>442</v>
      </c>
      <c r="K89" s="24" t="s">
        <v>443</v>
      </c>
    </row>
    <row r="90" spans="1:26" ht="13">
      <c r="A90" s="20" t="s">
        <v>55</v>
      </c>
      <c r="B90" s="20" t="s">
        <v>56</v>
      </c>
      <c r="C90" s="24" t="s">
        <v>445</v>
      </c>
      <c r="D90" s="20" t="s">
        <v>117</v>
      </c>
      <c r="E90" s="20" t="s">
        <v>69</v>
      </c>
      <c r="F90" s="20" t="s">
        <v>196</v>
      </c>
      <c r="G90" s="20" t="s">
        <v>307</v>
      </c>
      <c r="H90" s="20" t="s">
        <v>446</v>
      </c>
      <c r="I90" s="20" t="s">
        <v>69</v>
      </c>
      <c r="J90" s="20" t="s">
        <v>447</v>
      </c>
      <c r="K90" s="24" t="s">
        <v>448</v>
      </c>
    </row>
    <row r="91" spans="1:26" ht="13">
      <c r="A91" s="20" t="s">
        <v>55</v>
      </c>
      <c r="B91" s="20" t="s">
        <v>56</v>
      </c>
      <c r="C91" s="24" t="s">
        <v>449</v>
      </c>
      <c r="D91" s="20" t="s">
        <v>117</v>
      </c>
      <c r="E91" s="20" t="s">
        <v>69</v>
      </c>
      <c r="F91" s="20" t="s">
        <v>258</v>
      </c>
      <c r="G91" s="20" t="s">
        <v>300</v>
      </c>
      <c r="H91" s="20" t="s">
        <v>450</v>
      </c>
      <c r="I91" s="20" t="s">
        <v>451</v>
      </c>
      <c r="J91" s="20" t="s">
        <v>452</v>
      </c>
      <c r="K91" s="24" t="s">
        <v>453</v>
      </c>
    </row>
    <row r="92" spans="1:26" ht="15">
      <c r="A92" s="20" t="s">
        <v>55</v>
      </c>
      <c r="B92" s="20" t="s">
        <v>56</v>
      </c>
      <c r="C92" s="24" t="s">
        <v>454</v>
      </c>
      <c r="D92" s="20" t="s">
        <v>117</v>
      </c>
      <c r="E92" s="20" t="s">
        <v>69</v>
      </c>
      <c r="F92" s="20" t="s">
        <v>455</v>
      </c>
      <c r="G92" s="20" t="s">
        <v>300</v>
      </c>
      <c r="H92" s="20" t="s">
        <v>457</v>
      </c>
      <c r="I92" s="20" t="s">
        <v>69</v>
      </c>
      <c r="J92" s="20" t="s">
        <v>458</v>
      </c>
      <c r="K92" s="24" t="s">
        <v>459</v>
      </c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>
      <c r="K93" s="6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>
      <c r="A94" s="495" t="s">
        <v>461</v>
      </c>
      <c r="B94" s="496"/>
      <c r="C94" s="496"/>
      <c r="D94" s="496"/>
      <c r="E94" s="496"/>
      <c r="F94" s="496"/>
      <c r="G94" s="496"/>
      <c r="H94" s="496"/>
      <c r="I94" s="496"/>
      <c r="J94" s="496"/>
      <c r="K94" s="4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>
      <c r="A95" s="169" t="s">
        <v>31</v>
      </c>
      <c r="B95" s="169" t="s">
        <v>33</v>
      </c>
      <c r="C95" s="169" t="s">
        <v>34</v>
      </c>
      <c r="D95" s="169" t="s">
        <v>35</v>
      </c>
      <c r="E95" s="169" t="s">
        <v>36</v>
      </c>
      <c r="F95" s="169" t="s">
        <v>38</v>
      </c>
      <c r="G95" s="169" t="s">
        <v>39</v>
      </c>
      <c r="H95" s="169" t="s">
        <v>42</v>
      </c>
      <c r="I95" s="169" t="s">
        <v>43</v>
      </c>
      <c r="J95" s="169" t="s">
        <v>44</v>
      </c>
      <c r="K95" s="169" t="s">
        <v>46</v>
      </c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>
      <c r="A96" s="20" t="s">
        <v>55</v>
      </c>
      <c r="B96" s="20" t="s">
        <v>56</v>
      </c>
      <c r="C96" s="24" t="s">
        <v>466</v>
      </c>
      <c r="D96" s="20" t="s">
        <v>60</v>
      </c>
      <c r="E96" s="20" t="s">
        <v>69</v>
      </c>
      <c r="F96" s="20" t="s">
        <v>289</v>
      </c>
      <c r="G96" s="20" t="s">
        <v>467</v>
      </c>
      <c r="H96" s="20" t="s">
        <v>468</v>
      </c>
      <c r="I96" s="20" t="s">
        <v>69</v>
      </c>
      <c r="J96" s="20" t="s">
        <v>469</v>
      </c>
      <c r="K96" s="24" t="s">
        <v>470</v>
      </c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16" ht="13">
      <c r="A97" s="20" t="s">
        <v>55</v>
      </c>
      <c r="B97" s="20" t="s">
        <v>56</v>
      </c>
      <c r="C97" s="24" t="s">
        <v>472</v>
      </c>
      <c r="D97" s="20" t="s">
        <v>117</v>
      </c>
      <c r="E97" s="20" t="s">
        <v>69</v>
      </c>
      <c r="F97" s="20" t="s">
        <v>473</v>
      </c>
      <c r="G97" s="20" t="s">
        <v>474</v>
      </c>
      <c r="H97" s="20" t="s">
        <v>475</v>
      </c>
      <c r="I97" s="20" t="s">
        <v>69</v>
      </c>
      <c r="J97" s="20" t="s">
        <v>139</v>
      </c>
      <c r="K97" s="24" t="s">
        <v>476</v>
      </c>
    </row>
    <row r="98" spans="1:16" ht="13">
      <c r="A98" s="20" t="s">
        <v>55</v>
      </c>
      <c r="B98" s="20" t="s">
        <v>56</v>
      </c>
      <c r="C98" s="24" t="s">
        <v>477</v>
      </c>
      <c r="D98" s="20" t="s">
        <v>117</v>
      </c>
      <c r="E98" s="20" t="s">
        <v>69</v>
      </c>
      <c r="F98" s="20" t="s">
        <v>478</v>
      </c>
      <c r="G98" s="20" t="s">
        <v>324</v>
      </c>
      <c r="H98" s="20" t="s">
        <v>479</v>
      </c>
      <c r="I98" s="20" t="s">
        <v>69</v>
      </c>
      <c r="J98" s="20" t="s">
        <v>193</v>
      </c>
      <c r="K98" s="24" t="s">
        <v>482</v>
      </c>
    </row>
    <row r="99" spans="1:16" ht="13">
      <c r="K99" s="6"/>
    </row>
    <row r="100" spans="1:16" ht="13">
      <c r="K100" s="6"/>
    </row>
    <row r="101" spans="1:16" ht="13">
      <c r="A101" s="495" t="s">
        <v>484</v>
      </c>
      <c r="B101" s="496"/>
      <c r="C101" s="496"/>
      <c r="D101" s="496"/>
      <c r="E101" s="496"/>
      <c r="F101" s="496"/>
      <c r="G101" s="496"/>
      <c r="H101" s="496"/>
      <c r="I101" s="496"/>
      <c r="J101" s="496"/>
      <c r="K101" s="497"/>
    </row>
    <row r="102" spans="1:16" ht="13">
      <c r="A102" s="13" t="s">
        <v>31</v>
      </c>
      <c r="B102" s="13" t="s">
        <v>33</v>
      </c>
      <c r="C102" s="13" t="s">
        <v>34</v>
      </c>
      <c r="D102" s="13" t="s">
        <v>35</v>
      </c>
      <c r="E102" s="13" t="s">
        <v>36</v>
      </c>
      <c r="F102" s="13" t="s">
        <v>38</v>
      </c>
      <c r="G102" s="13" t="s">
        <v>39</v>
      </c>
      <c r="H102" s="13" t="s">
        <v>42</v>
      </c>
      <c r="I102" s="13" t="s">
        <v>43</v>
      </c>
      <c r="J102" s="13" t="s">
        <v>44</v>
      </c>
      <c r="K102" s="13" t="s">
        <v>46</v>
      </c>
    </row>
    <row r="103" spans="1:16" ht="13">
      <c r="A103" s="20" t="s">
        <v>55</v>
      </c>
      <c r="B103" s="20" t="s">
        <v>56</v>
      </c>
      <c r="C103" s="24" t="s">
        <v>489</v>
      </c>
      <c r="D103" s="20" t="s">
        <v>117</v>
      </c>
      <c r="E103" s="20" t="s">
        <v>490</v>
      </c>
      <c r="F103" s="20" t="s">
        <v>119</v>
      </c>
      <c r="G103" s="20" t="s">
        <v>491</v>
      </c>
      <c r="H103" s="20" t="s">
        <v>492</v>
      </c>
      <c r="I103" s="20" t="s">
        <v>223</v>
      </c>
      <c r="J103" s="20" t="s">
        <v>494</v>
      </c>
      <c r="K103" s="24" t="s">
        <v>495</v>
      </c>
    </row>
    <row r="104" spans="1:16" ht="13">
      <c r="A104" s="20" t="s">
        <v>55</v>
      </c>
      <c r="B104" s="20" t="s">
        <v>56</v>
      </c>
      <c r="C104" s="24" t="s">
        <v>498</v>
      </c>
      <c r="D104" s="20" t="s">
        <v>117</v>
      </c>
      <c r="E104" s="20" t="s">
        <v>499</v>
      </c>
      <c r="F104" s="20" t="s">
        <v>119</v>
      </c>
      <c r="G104" s="20" t="s">
        <v>135</v>
      </c>
      <c r="H104" s="20" t="s">
        <v>500</v>
      </c>
      <c r="I104" s="20" t="s">
        <v>243</v>
      </c>
      <c r="J104" s="20" t="s">
        <v>163</v>
      </c>
      <c r="K104" s="24" t="s">
        <v>501</v>
      </c>
    </row>
    <row r="105" spans="1:16" ht="13">
      <c r="A105" s="20" t="s">
        <v>55</v>
      </c>
      <c r="B105" s="20" t="s">
        <v>56</v>
      </c>
      <c r="C105" s="24" t="s">
        <v>502</v>
      </c>
      <c r="D105" s="20" t="s">
        <v>117</v>
      </c>
      <c r="E105" s="20" t="s">
        <v>503</v>
      </c>
      <c r="F105" s="20" t="s">
        <v>144</v>
      </c>
      <c r="G105" s="20" t="s">
        <v>347</v>
      </c>
      <c r="H105" s="20" t="s">
        <v>504</v>
      </c>
      <c r="I105" s="20" t="s">
        <v>223</v>
      </c>
      <c r="J105" s="20" t="s">
        <v>505</v>
      </c>
      <c r="K105" s="24" t="s">
        <v>506</v>
      </c>
    </row>
    <row r="106" spans="1:16" ht="13">
      <c r="A106" s="20" t="s">
        <v>55</v>
      </c>
      <c r="B106" s="20" t="s">
        <v>56</v>
      </c>
      <c r="C106" s="24" t="s">
        <v>507</v>
      </c>
      <c r="D106" s="20" t="s">
        <v>117</v>
      </c>
      <c r="E106" s="20" t="s">
        <v>509</v>
      </c>
      <c r="F106" s="20" t="s">
        <v>512</v>
      </c>
      <c r="G106" s="20" t="s">
        <v>136</v>
      </c>
      <c r="H106" s="20" t="s">
        <v>513</v>
      </c>
      <c r="I106" s="20" t="s">
        <v>193</v>
      </c>
      <c r="J106" s="20" t="s">
        <v>515</v>
      </c>
      <c r="K106" s="24" t="s">
        <v>516</v>
      </c>
    </row>
    <row r="107" spans="1:16" ht="13">
      <c r="A107" s="20" t="s">
        <v>55</v>
      </c>
      <c r="B107" s="20" t="s">
        <v>56</v>
      </c>
      <c r="C107" s="24" t="s">
        <v>518</v>
      </c>
      <c r="D107" s="20" t="s">
        <v>60</v>
      </c>
      <c r="E107" s="20" t="s">
        <v>519</v>
      </c>
      <c r="F107" s="20" t="s">
        <v>520</v>
      </c>
      <c r="G107" s="20" t="s">
        <v>69</v>
      </c>
      <c r="H107" s="20" t="s">
        <v>521</v>
      </c>
      <c r="I107" s="20" t="s">
        <v>442</v>
      </c>
      <c r="J107" s="20" t="s">
        <v>522</v>
      </c>
      <c r="K107" s="24" t="s">
        <v>523</v>
      </c>
    </row>
    <row r="108" spans="1:16" ht="13">
      <c r="A108" s="20" t="s">
        <v>55</v>
      </c>
      <c r="B108" s="20" t="s">
        <v>56</v>
      </c>
      <c r="C108" s="24" t="s">
        <v>524</v>
      </c>
      <c r="D108" s="20" t="s">
        <v>117</v>
      </c>
      <c r="E108" s="20" t="s">
        <v>525</v>
      </c>
      <c r="F108" s="20" t="s">
        <v>340</v>
      </c>
      <c r="H108" s="20" t="s">
        <v>526</v>
      </c>
      <c r="I108" s="20" t="s">
        <v>155</v>
      </c>
      <c r="J108" s="20" t="s">
        <v>527</v>
      </c>
      <c r="K108" s="24" t="s">
        <v>528</v>
      </c>
    </row>
    <row r="109" spans="1:16" ht="13">
      <c r="A109" s="46" t="s">
        <v>55</v>
      </c>
      <c r="B109" s="46" t="s">
        <v>56</v>
      </c>
      <c r="C109" s="49" t="s">
        <v>529</v>
      </c>
      <c r="D109" s="46" t="s">
        <v>69</v>
      </c>
      <c r="E109" s="46" t="s">
        <v>530</v>
      </c>
      <c r="F109" s="46" t="s">
        <v>356</v>
      </c>
      <c r="G109" s="50">
        <v>46199</v>
      </c>
      <c r="H109" s="53">
        <v>1754</v>
      </c>
      <c r="I109" s="53">
        <v>21</v>
      </c>
      <c r="J109" s="53">
        <v>80</v>
      </c>
      <c r="K109" s="68" t="s">
        <v>532</v>
      </c>
      <c r="L109" s="44"/>
      <c r="P109" s="44">
        <v>19</v>
      </c>
    </row>
    <row r="110" spans="1:16" ht="13">
      <c r="A110" s="56" t="s">
        <v>55</v>
      </c>
      <c r="B110" s="56" t="s">
        <v>56</v>
      </c>
      <c r="C110" s="58" t="s">
        <v>538</v>
      </c>
      <c r="D110" s="56" t="s">
        <v>69</v>
      </c>
      <c r="E110" s="56" t="s">
        <v>539</v>
      </c>
      <c r="F110" s="56" t="s">
        <v>99</v>
      </c>
      <c r="G110" s="27">
        <v>46204</v>
      </c>
      <c r="H110" s="56"/>
      <c r="I110" s="56"/>
      <c r="J110" s="56">
        <v>13</v>
      </c>
      <c r="K110" s="210" t="s">
        <v>540</v>
      </c>
      <c r="M110" s="205"/>
      <c r="N110" s="205"/>
      <c r="O110" s="205"/>
      <c r="P110" s="205">
        <v>3</v>
      </c>
    </row>
    <row r="111" spans="1:16" ht="13">
      <c r="A111" s="46" t="s">
        <v>55</v>
      </c>
      <c r="B111" s="46" t="s">
        <v>95</v>
      </c>
      <c r="C111" s="49" t="s">
        <v>546</v>
      </c>
      <c r="D111" s="46" t="s">
        <v>28</v>
      </c>
      <c r="E111" s="46" t="s">
        <v>547</v>
      </c>
      <c r="F111" s="46" t="s">
        <v>548</v>
      </c>
      <c r="G111" s="46"/>
      <c r="H111" s="46"/>
      <c r="I111" s="46"/>
      <c r="J111" s="46">
        <v>55</v>
      </c>
      <c r="K111" s="130" t="s">
        <v>550</v>
      </c>
      <c r="L111" s="194"/>
      <c r="M111" s="194"/>
      <c r="N111" s="205"/>
      <c r="O111" s="205"/>
      <c r="P111" s="205"/>
    </row>
    <row r="112" spans="1:16" ht="13">
      <c r="K112" s="6"/>
    </row>
    <row r="113" spans="1:26" ht="13">
      <c r="K113" s="6"/>
    </row>
    <row r="114" spans="1:26" ht="13">
      <c r="K114" s="6"/>
    </row>
    <row r="115" spans="1:26" ht="13">
      <c r="K115" s="6"/>
    </row>
    <row r="116" spans="1:26" ht="13">
      <c r="K116" s="6"/>
    </row>
    <row r="117" spans="1:26" ht="13">
      <c r="A117" s="1" t="s">
        <v>73</v>
      </c>
      <c r="K117" s="6"/>
    </row>
    <row r="118" spans="1:26" ht="15">
      <c r="A118" s="495" t="s">
        <v>381</v>
      </c>
      <c r="B118" s="496"/>
      <c r="C118" s="496"/>
      <c r="D118" s="496"/>
      <c r="E118" s="496"/>
      <c r="F118" s="496"/>
      <c r="G118" s="496"/>
      <c r="H118" s="496"/>
      <c r="I118" s="496"/>
      <c r="J118" s="496"/>
      <c r="K118" s="4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>
      <c r="A119" s="13" t="s">
        <v>31</v>
      </c>
      <c r="B119" s="13" t="s">
        <v>33</v>
      </c>
      <c r="C119" s="13" t="s">
        <v>34</v>
      </c>
      <c r="D119" s="13" t="s">
        <v>35</v>
      </c>
      <c r="E119" s="13" t="s">
        <v>36</v>
      </c>
      <c r="F119" s="13" t="s">
        <v>38</v>
      </c>
      <c r="G119" s="13" t="s">
        <v>39</v>
      </c>
      <c r="H119" s="13" t="s">
        <v>42</v>
      </c>
      <c r="I119" s="13" t="s">
        <v>43</v>
      </c>
      <c r="J119" s="13" t="s">
        <v>44</v>
      </c>
      <c r="K119" s="13" t="s">
        <v>46</v>
      </c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>
      <c r="A120" s="20" t="s">
        <v>55</v>
      </c>
      <c r="B120" s="20" t="s">
        <v>56</v>
      </c>
      <c r="C120" s="24" t="s">
        <v>561</v>
      </c>
      <c r="D120" s="20" t="s">
        <v>117</v>
      </c>
      <c r="E120" s="20" t="s">
        <v>563</v>
      </c>
      <c r="F120" s="20" t="s">
        <v>491</v>
      </c>
      <c r="G120" s="20" t="s">
        <v>564</v>
      </c>
      <c r="H120" s="20" t="s">
        <v>565</v>
      </c>
      <c r="I120" s="20" t="s">
        <v>260</v>
      </c>
      <c r="J120" s="20" t="s">
        <v>312</v>
      </c>
      <c r="K120" s="24" t="s">
        <v>566</v>
      </c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>
      <c r="A121" s="20" t="s">
        <v>55</v>
      </c>
      <c r="B121" s="20" t="s">
        <v>56</v>
      </c>
      <c r="C121" s="24" t="s">
        <v>569</v>
      </c>
      <c r="D121" s="20" t="s">
        <v>117</v>
      </c>
      <c r="E121" s="20" t="s">
        <v>570</v>
      </c>
      <c r="F121" s="20" t="s">
        <v>144</v>
      </c>
      <c r="G121" s="20" t="s">
        <v>136</v>
      </c>
      <c r="H121" s="20" t="s">
        <v>571</v>
      </c>
      <c r="I121" s="20" t="s">
        <v>572</v>
      </c>
      <c r="J121" s="20" t="s">
        <v>573</v>
      </c>
      <c r="K121" s="24" t="s">
        <v>574</v>
      </c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>
      <c r="A122" s="20" t="s">
        <v>55</v>
      </c>
      <c r="B122" s="20" t="s">
        <v>56</v>
      </c>
      <c r="C122" s="24" t="s">
        <v>576</v>
      </c>
      <c r="D122" s="20" t="s">
        <v>60</v>
      </c>
      <c r="E122" s="20" t="s">
        <v>62</v>
      </c>
      <c r="F122" s="20" t="s">
        <v>144</v>
      </c>
      <c r="G122" s="20" t="s">
        <v>69</v>
      </c>
      <c r="H122" s="20" t="s">
        <v>577</v>
      </c>
      <c r="I122" s="20" t="s">
        <v>69</v>
      </c>
      <c r="J122" s="20" t="s">
        <v>260</v>
      </c>
      <c r="K122" s="24" t="s">
        <v>578</v>
      </c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>
      <c r="A123" s="20" t="s">
        <v>55</v>
      </c>
      <c r="B123" s="20" t="s">
        <v>56</v>
      </c>
      <c r="C123" s="24" t="s">
        <v>579</v>
      </c>
      <c r="D123" s="20" t="s">
        <v>117</v>
      </c>
      <c r="E123" s="20" t="s">
        <v>580</v>
      </c>
      <c r="F123" s="20" t="s">
        <v>144</v>
      </c>
      <c r="G123" s="20" t="s">
        <v>581</v>
      </c>
      <c r="H123" s="20" t="s">
        <v>69</v>
      </c>
      <c r="I123" s="20" t="s">
        <v>69</v>
      </c>
      <c r="J123" s="20" t="s">
        <v>69</v>
      </c>
      <c r="K123" s="24" t="s">
        <v>583</v>
      </c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3">
      <c r="K124" s="6"/>
    </row>
    <row r="125" spans="1:26" ht="13">
      <c r="K125" s="6"/>
    </row>
    <row r="126" spans="1:26" ht="13">
      <c r="K126" s="6"/>
    </row>
    <row r="127" spans="1:26" ht="13">
      <c r="K127" s="6"/>
    </row>
    <row r="128" spans="1:26" ht="13">
      <c r="K128" s="6"/>
    </row>
    <row r="129" spans="11:11" ht="13">
      <c r="K129" s="6"/>
    </row>
    <row r="130" spans="11:11" ht="13">
      <c r="K130" s="6"/>
    </row>
    <row r="131" spans="11:11" ht="13">
      <c r="K131" s="6"/>
    </row>
    <row r="132" spans="11:11" ht="13">
      <c r="K132" s="6"/>
    </row>
    <row r="133" spans="11:11" ht="13">
      <c r="K133" s="6"/>
    </row>
    <row r="134" spans="11:11" ht="13">
      <c r="K134" s="6"/>
    </row>
    <row r="135" spans="11:11" ht="13">
      <c r="K135" s="6"/>
    </row>
    <row r="136" spans="11:11" ht="13">
      <c r="K136" s="6"/>
    </row>
    <row r="137" spans="11:11" ht="13">
      <c r="K137" s="6"/>
    </row>
    <row r="138" spans="11:11" ht="13">
      <c r="K138" s="6"/>
    </row>
    <row r="139" spans="11:11" ht="13">
      <c r="K139" s="6"/>
    </row>
    <row r="140" spans="11:11" ht="13">
      <c r="K140" s="6"/>
    </row>
    <row r="141" spans="11:11" ht="13">
      <c r="K141" s="6"/>
    </row>
    <row r="142" spans="11:11" ht="13">
      <c r="K142" s="6"/>
    </row>
    <row r="143" spans="11:11" ht="13">
      <c r="K143" s="6"/>
    </row>
    <row r="144" spans="11:11" ht="13">
      <c r="K144" s="6"/>
    </row>
    <row r="145" spans="11:11" ht="13">
      <c r="K145" s="6"/>
    </row>
    <row r="146" spans="11:11" ht="13">
      <c r="K146" s="6"/>
    </row>
    <row r="147" spans="11:11" ht="13">
      <c r="K147" s="6"/>
    </row>
    <row r="148" spans="11:11" ht="13">
      <c r="K148" s="6"/>
    </row>
    <row r="149" spans="11:11" ht="13">
      <c r="K149" s="6"/>
    </row>
    <row r="150" spans="11:11" ht="13">
      <c r="K150" s="6"/>
    </row>
    <row r="151" spans="11:11" ht="13">
      <c r="K151" s="6"/>
    </row>
    <row r="152" spans="11:11" ht="13">
      <c r="K152" s="6"/>
    </row>
    <row r="153" spans="11:11" ht="13">
      <c r="K153" s="6"/>
    </row>
    <row r="154" spans="11:11" ht="13">
      <c r="K154" s="6"/>
    </row>
    <row r="155" spans="11:11" ht="13">
      <c r="K155" s="6"/>
    </row>
    <row r="156" spans="11:11" ht="13">
      <c r="K156" s="6"/>
    </row>
    <row r="157" spans="11:11" ht="13">
      <c r="K157" s="6"/>
    </row>
    <row r="158" spans="11:11" ht="13">
      <c r="K158" s="6"/>
    </row>
    <row r="159" spans="11:11" ht="13">
      <c r="K159" s="6"/>
    </row>
    <row r="160" spans="11:11" ht="13">
      <c r="K160" s="6"/>
    </row>
    <row r="161" spans="11:11" ht="13">
      <c r="K161" s="6"/>
    </row>
    <row r="162" spans="11:11" ht="13">
      <c r="K162" s="6"/>
    </row>
    <row r="163" spans="11:11" ht="13">
      <c r="K163" s="6"/>
    </row>
    <row r="164" spans="11:11" ht="13">
      <c r="K164" s="6"/>
    </row>
    <row r="165" spans="11:11" ht="13">
      <c r="K165" s="6"/>
    </row>
    <row r="166" spans="11:11" ht="13">
      <c r="K166" s="6"/>
    </row>
    <row r="167" spans="11:11" ht="13">
      <c r="K167" s="6"/>
    </row>
    <row r="168" spans="11:11" ht="13">
      <c r="K168" s="6"/>
    </row>
    <row r="169" spans="11:11" ht="13">
      <c r="K169" s="6"/>
    </row>
    <row r="170" spans="11:11" ht="13">
      <c r="K170" s="6"/>
    </row>
    <row r="171" spans="11:11" ht="13">
      <c r="K171" s="6"/>
    </row>
    <row r="172" spans="11:11" ht="13">
      <c r="K172" s="6"/>
    </row>
    <row r="173" spans="11:11" ht="13">
      <c r="K173" s="6"/>
    </row>
    <row r="174" spans="11:11" ht="13">
      <c r="K174" s="6"/>
    </row>
    <row r="175" spans="11:11" ht="13">
      <c r="K175" s="6"/>
    </row>
    <row r="176" spans="11:11" ht="13">
      <c r="K176" s="6"/>
    </row>
    <row r="177" spans="11:11" ht="13">
      <c r="K177" s="6"/>
    </row>
    <row r="178" spans="11:11" ht="13">
      <c r="K178" s="6"/>
    </row>
    <row r="179" spans="11:11" ht="13">
      <c r="K179" s="6"/>
    </row>
    <row r="180" spans="11:11" ht="13">
      <c r="K180" s="6"/>
    </row>
    <row r="181" spans="11:11" ht="13">
      <c r="K181" s="6"/>
    </row>
    <row r="182" spans="11:11" ht="13">
      <c r="K182" s="6"/>
    </row>
    <row r="183" spans="11:11" ht="13">
      <c r="K183" s="6"/>
    </row>
    <row r="184" spans="11:11" ht="13">
      <c r="K184" s="6"/>
    </row>
    <row r="185" spans="11:11" ht="13">
      <c r="K185" s="6"/>
    </row>
    <row r="186" spans="11:11" ht="13">
      <c r="K186" s="6"/>
    </row>
    <row r="187" spans="11:11" ht="13">
      <c r="K187" s="6"/>
    </row>
    <row r="188" spans="11:11" ht="13">
      <c r="K188" s="6"/>
    </row>
    <row r="189" spans="11:11" ht="13">
      <c r="K189" s="6"/>
    </row>
    <row r="190" spans="11:11" ht="13">
      <c r="K190" s="6"/>
    </row>
    <row r="191" spans="11:11" ht="13">
      <c r="K191" s="6"/>
    </row>
    <row r="192" spans="11:11" ht="13">
      <c r="K192" s="6"/>
    </row>
    <row r="193" spans="11:11" ht="13">
      <c r="K193" s="6"/>
    </row>
    <row r="194" spans="11:11" ht="13">
      <c r="K194" s="6"/>
    </row>
    <row r="195" spans="11:11" ht="13">
      <c r="K195" s="6"/>
    </row>
    <row r="196" spans="11:11" ht="13">
      <c r="K196" s="6"/>
    </row>
    <row r="197" spans="11:11" ht="13">
      <c r="K197" s="6"/>
    </row>
    <row r="198" spans="11:11" ht="13">
      <c r="K198" s="6"/>
    </row>
    <row r="199" spans="11:11" ht="13">
      <c r="K199" s="6"/>
    </row>
    <row r="200" spans="11:11" ht="13">
      <c r="K200" s="6"/>
    </row>
    <row r="201" spans="11:11" ht="13">
      <c r="K201" s="6"/>
    </row>
    <row r="202" spans="11:11" ht="13">
      <c r="K202" s="6"/>
    </row>
    <row r="203" spans="11:11" ht="13">
      <c r="K203" s="6"/>
    </row>
    <row r="204" spans="11:11" ht="13">
      <c r="K204" s="6"/>
    </row>
    <row r="205" spans="11:11" ht="13">
      <c r="K205" s="6"/>
    </row>
    <row r="206" spans="11:11" ht="13">
      <c r="K206" s="6"/>
    </row>
    <row r="207" spans="11:11" ht="13">
      <c r="K207" s="6"/>
    </row>
    <row r="208" spans="11:11" ht="13">
      <c r="K208" s="6"/>
    </row>
    <row r="209" spans="11:11" ht="13">
      <c r="K209" s="6"/>
    </row>
    <row r="210" spans="11:11" ht="13">
      <c r="K210" s="6"/>
    </row>
    <row r="211" spans="11:11" ht="13">
      <c r="K211" s="6"/>
    </row>
    <row r="212" spans="11:11" ht="13">
      <c r="K212" s="6"/>
    </row>
    <row r="213" spans="11:11" ht="13">
      <c r="K213" s="6"/>
    </row>
    <row r="214" spans="11:11" ht="13">
      <c r="K214" s="6"/>
    </row>
    <row r="215" spans="11:11" ht="13">
      <c r="K215" s="6"/>
    </row>
    <row r="216" spans="11:11" ht="13">
      <c r="K216" s="6"/>
    </row>
    <row r="217" spans="11:11" ht="13">
      <c r="K217" s="6"/>
    </row>
    <row r="218" spans="11:11" ht="13">
      <c r="K218" s="6"/>
    </row>
    <row r="219" spans="11:11" ht="13">
      <c r="K219" s="6"/>
    </row>
    <row r="220" spans="11:11" ht="13">
      <c r="K220" s="6"/>
    </row>
    <row r="221" spans="11:11" ht="13">
      <c r="K221" s="6"/>
    </row>
    <row r="222" spans="11:11" ht="13">
      <c r="K222" s="6"/>
    </row>
    <row r="223" spans="11:11" ht="13">
      <c r="K223" s="6"/>
    </row>
    <row r="224" spans="11:11" ht="13">
      <c r="K224" s="6"/>
    </row>
    <row r="225" spans="11:11" ht="13">
      <c r="K225" s="6"/>
    </row>
    <row r="226" spans="11:11" ht="13">
      <c r="K226" s="6"/>
    </row>
    <row r="227" spans="11:11" ht="13">
      <c r="K227" s="6"/>
    </row>
    <row r="228" spans="11:11" ht="13">
      <c r="K228" s="6"/>
    </row>
    <row r="229" spans="11:11" ht="13">
      <c r="K229" s="6"/>
    </row>
    <row r="230" spans="11:11" ht="13">
      <c r="K230" s="6"/>
    </row>
    <row r="231" spans="11:11" ht="13">
      <c r="K231" s="6"/>
    </row>
    <row r="232" spans="11:11" ht="13">
      <c r="K232" s="6"/>
    </row>
    <row r="233" spans="11:11" ht="13">
      <c r="K233" s="6"/>
    </row>
    <row r="234" spans="11:11" ht="13">
      <c r="K234" s="6"/>
    </row>
    <row r="235" spans="11:11" ht="13">
      <c r="K235" s="6"/>
    </row>
    <row r="236" spans="11:11" ht="13">
      <c r="K236" s="6"/>
    </row>
    <row r="237" spans="11:11" ht="13">
      <c r="K237" s="6"/>
    </row>
    <row r="238" spans="11:11" ht="13">
      <c r="K238" s="6"/>
    </row>
    <row r="239" spans="11:11" ht="13">
      <c r="K239" s="6"/>
    </row>
    <row r="240" spans="11:11" ht="13">
      <c r="K240" s="6"/>
    </row>
    <row r="241" spans="11:11" ht="13">
      <c r="K241" s="6"/>
    </row>
    <row r="242" spans="11:11" ht="13">
      <c r="K242" s="6"/>
    </row>
    <row r="243" spans="11:11" ht="13">
      <c r="K243" s="6"/>
    </row>
    <row r="244" spans="11:11" ht="13">
      <c r="K244" s="6"/>
    </row>
    <row r="245" spans="11:11" ht="13">
      <c r="K245" s="6"/>
    </row>
    <row r="246" spans="11:11" ht="13">
      <c r="K246" s="6"/>
    </row>
    <row r="247" spans="11:11" ht="13">
      <c r="K247" s="6"/>
    </row>
    <row r="248" spans="11:11" ht="13">
      <c r="K248" s="6"/>
    </row>
    <row r="249" spans="11:11" ht="13">
      <c r="K249" s="6"/>
    </row>
    <row r="250" spans="11:11" ht="13">
      <c r="K250" s="6"/>
    </row>
    <row r="251" spans="11:11" ht="13">
      <c r="K251" s="6"/>
    </row>
    <row r="252" spans="11:11" ht="13">
      <c r="K252" s="6"/>
    </row>
    <row r="253" spans="11:11" ht="13">
      <c r="K253" s="6"/>
    </row>
    <row r="254" spans="11:11" ht="13">
      <c r="K254" s="6"/>
    </row>
    <row r="255" spans="11:11" ht="13">
      <c r="K255" s="6"/>
    </row>
    <row r="256" spans="11:11" ht="13">
      <c r="K256" s="6"/>
    </row>
    <row r="257" spans="11:11" ht="13">
      <c r="K257" s="6"/>
    </row>
    <row r="258" spans="11:11" ht="13">
      <c r="K258" s="6"/>
    </row>
    <row r="259" spans="11:11" ht="13">
      <c r="K259" s="6"/>
    </row>
    <row r="260" spans="11:11" ht="13">
      <c r="K260" s="6"/>
    </row>
    <row r="261" spans="11:11" ht="13">
      <c r="K261" s="6"/>
    </row>
    <row r="262" spans="11:11" ht="13">
      <c r="K262" s="6"/>
    </row>
    <row r="263" spans="11:11" ht="13">
      <c r="K263" s="6"/>
    </row>
    <row r="264" spans="11:11" ht="13">
      <c r="K264" s="6"/>
    </row>
    <row r="265" spans="11:11" ht="13">
      <c r="K265" s="6"/>
    </row>
    <row r="266" spans="11:11" ht="13">
      <c r="K266" s="6"/>
    </row>
    <row r="267" spans="11:11" ht="13">
      <c r="K267" s="6"/>
    </row>
    <row r="268" spans="11:11" ht="13">
      <c r="K268" s="6"/>
    </row>
    <row r="269" spans="11:11" ht="13">
      <c r="K269" s="6"/>
    </row>
    <row r="270" spans="11:11" ht="13">
      <c r="K270" s="6"/>
    </row>
    <row r="271" spans="11:11" ht="13">
      <c r="K271" s="6"/>
    </row>
    <row r="272" spans="11:11" ht="13">
      <c r="K272" s="6"/>
    </row>
    <row r="273" spans="11:11" ht="13">
      <c r="K273" s="6"/>
    </row>
    <row r="274" spans="11:11" ht="13">
      <c r="K274" s="6"/>
    </row>
    <row r="275" spans="11:11" ht="13">
      <c r="K275" s="6"/>
    </row>
    <row r="276" spans="11:11" ht="13">
      <c r="K276" s="6"/>
    </row>
    <row r="277" spans="11:11" ht="13">
      <c r="K277" s="6"/>
    </row>
    <row r="278" spans="11:11" ht="13">
      <c r="K278" s="6"/>
    </row>
    <row r="279" spans="11:11" ht="13">
      <c r="K279" s="6"/>
    </row>
    <row r="280" spans="11:11" ht="13">
      <c r="K280" s="6"/>
    </row>
    <row r="281" spans="11:11" ht="13">
      <c r="K281" s="6"/>
    </row>
    <row r="282" spans="11:11" ht="13">
      <c r="K282" s="6"/>
    </row>
    <row r="283" spans="11:11" ht="13">
      <c r="K283" s="6"/>
    </row>
    <row r="284" spans="11:11" ht="13">
      <c r="K284" s="6"/>
    </row>
    <row r="285" spans="11:11" ht="13">
      <c r="K285" s="6"/>
    </row>
    <row r="286" spans="11:11" ht="13">
      <c r="K286" s="6"/>
    </row>
    <row r="287" spans="11:11" ht="13">
      <c r="K287" s="6"/>
    </row>
    <row r="288" spans="11:11" ht="13">
      <c r="K288" s="6"/>
    </row>
    <row r="289" spans="11:11" ht="13">
      <c r="K289" s="6"/>
    </row>
    <row r="290" spans="11:11" ht="13">
      <c r="K290" s="6"/>
    </row>
    <row r="291" spans="11:11" ht="13">
      <c r="K291" s="6"/>
    </row>
    <row r="292" spans="11:11" ht="13">
      <c r="K292" s="6"/>
    </row>
    <row r="293" spans="11:11" ht="13">
      <c r="K293" s="6"/>
    </row>
    <row r="294" spans="11:11" ht="13">
      <c r="K294" s="6"/>
    </row>
    <row r="295" spans="11:11" ht="13">
      <c r="K295" s="6"/>
    </row>
    <row r="296" spans="11:11" ht="13">
      <c r="K296" s="6"/>
    </row>
    <row r="297" spans="11:11" ht="13">
      <c r="K297" s="6"/>
    </row>
    <row r="298" spans="11:11" ht="13">
      <c r="K298" s="6"/>
    </row>
    <row r="299" spans="11:11" ht="13">
      <c r="K299" s="6"/>
    </row>
    <row r="300" spans="11:11" ht="13">
      <c r="K300" s="6"/>
    </row>
    <row r="301" spans="11:11" ht="13">
      <c r="K301" s="6"/>
    </row>
    <row r="302" spans="11:11" ht="13">
      <c r="K302" s="6"/>
    </row>
    <row r="303" spans="11:11" ht="13">
      <c r="K303" s="6"/>
    </row>
    <row r="304" spans="11:11" ht="13">
      <c r="K304" s="6"/>
    </row>
    <row r="305" spans="11:11" ht="13">
      <c r="K305" s="6"/>
    </row>
    <row r="306" spans="11:11" ht="13">
      <c r="K306" s="6"/>
    </row>
    <row r="307" spans="11:11" ht="13">
      <c r="K307" s="6"/>
    </row>
    <row r="308" spans="11:11" ht="13">
      <c r="K308" s="6"/>
    </row>
    <row r="309" spans="11:11" ht="13">
      <c r="K309" s="6"/>
    </row>
    <row r="310" spans="11:11" ht="13">
      <c r="K310" s="6"/>
    </row>
    <row r="311" spans="11:11" ht="13">
      <c r="K311" s="6"/>
    </row>
    <row r="312" spans="11:11" ht="13">
      <c r="K312" s="6"/>
    </row>
    <row r="313" spans="11:11" ht="13">
      <c r="K313" s="6"/>
    </row>
    <row r="314" spans="11:11" ht="13">
      <c r="K314" s="6"/>
    </row>
    <row r="315" spans="11:11" ht="13">
      <c r="K315" s="6"/>
    </row>
    <row r="316" spans="11:11" ht="13">
      <c r="K316" s="6"/>
    </row>
    <row r="317" spans="11:11" ht="13">
      <c r="K317" s="6"/>
    </row>
    <row r="318" spans="11:11" ht="13">
      <c r="K318" s="6"/>
    </row>
    <row r="319" spans="11:11" ht="13">
      <c r="K319" s="6"/>
    </row>
    <row r="320" spans="11:11" ht="13">
      <c r="K320" s="6"/>
    </row>
    <row r="321" spans="11:11" ht="13">
      <c r="K321" s="6"/>
    </row>
    <row r="322" spans="11:11" ht="13">
      <c r="K322" s="6"/>
    </row>
    <row r="323" spans="11:11" ht="13">
      <c r="K323" s="6"/>
    </row>
    <row r="324" spans="11:11" ht="13">
      <c r="K324" s="6"/>
    </row>
    <row r="325" spans="11:11" ht="13">
      <c r="K325" s="6"/>
    </row>
    <row r="326" spans="11:11" ht="13">
      <c r="K326" s="6"/>
    </row>
    <row r="327" spans="11:11" ht="13">
      <c r="K327" s="6"/>
    </row>
    <row r="328" spans="11:11" ht="13">
      <c r="K328" s="6"/>
    </row>
    <row r="329" spans="11:11" ht="13">
      <c r="K329" s="6"/>
    </row>
    <row r="330" spans="11:11" ht="13">
      <c r="K330" s="6"/>
    </row>
    <row r="331" spans="11:11" ht="13">
      <c r="K331" s="6"/>
    </row>
    <row r="332" spans="11:11" ht="13">
      <c r="K332" s="6"/>
    </row>
    <row r="333" spans="11:11" ht="13">
      <c r="K333" s="6"/>
    </row>
    <row r="334" spans="11:11" ht="13">
      <c r="K334" s="6"/>
    </row>
    <row r="335" spans="11:11" ht="13">
      <c r="K335" s="6"/>
    </row>
    <row r="336" spans="11:11" ht="13">
      <c r="K336" s="6"/>
    </row>
    <row r="337" spans="11:11" ht="13">
      <c r="K337" s="6"/>
    </row>
    <row r="338" spans="11:11" ht="13">
      <c r="K338" s="6"/>
    </row>
    <row r="339" spans="11:11" ht="13">
      <c r="K339" s="6"/>
    </row>
    <row r="340" spans="11:11" ht="13">
      <c r="K340" s="6"/>
    </row>
    <row r="341" spans="11:11" ht="13">
      <c r="K341" s="6"/>
    </row>
    <row r="342" spans="11:11" ht="13">
      <c r="K342" s="6"/>
    </row>
    <row r="343" spans="11:11" ht="13">
      <c r="K343" s="6"/>
    </row>
    <row r="344" spans="11:11" ht="13">
      <c r="K344" s="6"/>
    </row>
    <row r="345" spans="11:11" ht="13">
      <c r="K345" s="6"/>
    </row>
    <row r="346" spans="11:11" ht="13">
      <c r="K346" s="6"/>
    </row>
    <row r="347" spans="11:11" ht="13">
      <c r="K347" s="6"/>
    </row>
    <row r="348" spans="11:11" ht="13">
      <c r="K348" s="6"/>
    </row>
    <row r="349" spans="11:11" ht="13">
      <c r="K349" s="6"/>
    </row>
    <row r="350" spans="11:11" ht="13">
      <c r="K350" s="6"/>
    </row>
    <row r="351" spans="11:11" ht="13">
      <c r="K351" s="6"/>
    </row>
    <row r="352" spans="11:11" ht="13">
      <c r="K352" s="6"/>
    </row>
    <row r="353" spans="11:11" ht="13">
      <c r="K353" s="6"/>
    </row>
    <row r="354" spans="11:11" ht="13">
      <c r="K354" s="6"/>
    </row>
    <row r="355" spans="11:11" ht="13">
      <c r="K355" s="6"/>
    </row>
    <row r="356" spans="11:11" ht="13">
      <c r="K356" s="6"/>
    </row>
    <row r="357" spans="11:11" ht="13">
      <c r="K357" s="6"/>
    </row>
    <row r="358" spans="11:11" ht="13">
      <c r="K358" s="6"/>
    </row>
    <row r="359" spans="11:11" ht="13">
      <c r="K359" s="6"/>
    </row>
    <row r="360" spans="11:11" ht="13">
      <c r="K360" s="6"/>
    </row>
    <row r="361" spans="11:11" ht="13">
      <c r="K361" s="6"/>
    </row>
    <row r="362" spans="11:11" ht="13">
      <c r="K362" s="6"/>
    </row>
    <row r="363" spans="11:11" ht="13">
      <c r="K363" s="6"/>
    </row>
    <row r="364" spans="11:11" ht="13">
      <c r="K364" s="6"/>
    </row>
    <row r="365" spans="11:11" ht="13">
      <c r="K365" s="6"/>
    </row>
    <row r="366" spans="11:11" ht="13">
      <c r="K366" s="6"/>
    </row>
    <row r="367" spans="11:11" ht="13">
      <c r="K367" s="6"/>
    </row>
    <row r="368" spans="11:11" ht="13">
      <c r="K368" s="6"/>
    </row>
    <row r="369" spans="11:11" ht="13">
      <c r="K369" s="6"/>
    </row>
    <row r="370" spans="11:11" ht="13">
      <c r="K370" s="6"/>
    </row>
    <row r="371" spans="11:11" ht="13">
      <c r="K371" s="6"/>
    </row>
    <row r="372" spans="11:11" ht="13">
      <c r="K372" s="6"/>
    </row>
    <row r="373" spans="11:11" ht="13">
      <c r="K373" s="6"/>
    </row>
    <row r="374" spans="11:11" ht="13">
      <c r="K374" s="6"/>
    </row>
    <row r="375" spans="11:11" ht="13">
      <c r="K375" s="6"/>
    </row>
    <row r="376" spans="11:11" ht="13">
      <c r="K376" s="6"/>
    </row>
    <row r="377" spans="11:11" ht="13">
      <c r="K377" s="6"/>
    </row>
    <row r="378" spans="11:11" ht="13">
      <c r="K378" s="6"/>
    </row>
    <row r="379" spans="11:11" ht="13">
      <c r="K379" s="6"/>
    </row>
    <row r="380" spans="11:11" ht="13">
      <c r="K380" s="6"/>
    </row>
    <row r="381" spans="11:11" ht="13">
      <c r="K381" s="6"/>
    </row>
    <row r="382" spans="11:11" ht="13">
      <c r="K382" s="6"/>
    </row>
    <row r="383" spans="11:11" ht="13">
      <c r="K383" s="6"/>
    </row>
    <row r="384" spans="11:11" ht="13">
      <c r="K384" s="6"/>
    </row>
    <row r="385" spans="11:11" ht="13">
      <c r="K385" s="6"/>
    </row>
    <row r="386" spans="11:11" ht="13">
      <c r="K386" s="6"/>
    </row>
    <row r="387" spans="11:11" ht="13">
      <c r="K387" s="6"/>
    </row>
    <row r="388" spans="11:11" ht="13">
      <c r="K388" s="6"/>
    </row>
    <row r="389" spans="11:11" ht="13">
      <c r="K389" s="6"/>
    </row>
    <row r="390" spans="11:11" ht="13">
      <c r="K390" s="6"/>
    </row>
    <row r="391" spans="11:11" ht="13">
      <c r="K391" s="6"/>
    </row>
    <row r="392" spans="11:11" ht="13">
      <c r="K392" s="6"/>
    </row>
    <row r="393" spans="11:11" ht="13">
      <c r="K393" s="6"/>
    </row>
    <row r="394" spans="11:11" ht="13">
      <c r="K394" s="6"/>
    </row>
    <row r="395" spans="11:11" ht="13">
      <c r="K395" s="6"/>
    </row>
    <row r="396" spans="11:11" ht="13">
      <c r="K396" s="6"/>
    </row>
    <row r="397" spans="11:11" ht="13">
      <c r="K397" s="6"/>
    </row>
    <row r="398" spans="11:11" ht="13">
      <c r="K398" s="6"/>
    </row>
    <row r="399" spans="11:11" ht="13">
      <c r="K399" s="6"/>
    </row>
    <row r="400" spans="11:11" ht="13">
      <c r="K400" s="6"/>
    </row>
    <row r="401" spans="11:11" ht="13">
      <c r="K401" s="6"/>
    </row>
    <row r="402" spans="11:11" ht="13">
      <c r="K402" s="6"/>
    </row>
    <row r="403" spans="11:11" ht="13">
      <c r="K403" s="6"/>
    </row>
    <row r="404" spans="11:11" ht="13">
      <c r="K404" s="6"/>
    </row>
    <row r="405" spans="11:11" ht="13">
      <c r="K405" s="6"/>
    </row>
    <row r="406" spans="11:11" ht="13">
      <c r="K406" s="6"/>
    </row>
    <row r="407" spans="11:11" ht="13">
      <c r="K407" s="6"/>
    </row>
    <row r="408" spans="11:11" ht="13">
      <c r="K408" s="6"/>
    </row>
    <row r="409" spans="11:11" ht="13">
      <c r="K409" s="6"/>
    </row>
    <row r="410" spans="11:11" ht="13">
      <c r="K410" s="6"/>
    </row>
    <row r="411" spans="11:11" ht="13">
      <c r="K411" s="6"/>
    </row>
    <row r="412" spans="11:11" ht="13">
      <c r="K412" s="6"/>
    </row>
    <row r="413" spans="11:11" ht="13">
      <c r="K413" s="6"/>
    </row>
    <row r="414" spans="11:11" ht="13">
      <c r="K414" s="6"/>
    </row>
    <row r="415" spans="11:11" ht="13">
      <c r="K415" s="6"/>
    </row>
    <row r="416" spans="11:11" ht="13">
      <c r="K416" s="6"/>
    </row>
    <row r="417" spans="11:11" ht="13">
      <c r="K417" s="6"/>
    </row>
    <row r="418" spans="11:11" ht="13">
      <c r="K418" s="6"/>
    </row>
    <row r="419" spans="11:11" ht="13">
      <c r="K419" s="6"/>
    </row>
    <row r="420" spans="11:11" ht="13">
      <c r="K420" s="6"/>
    </row>
    <row r="421" spans="11:11" ht="13">
      <c r="K421" s="6"/>
    </row>
    <row r="422" spans="11:11" ht="13">
      <c r="K422" s="6"/>
    </row>
    <row r="423" spans="11:11" ht="13">
      <c r="K423" s="6"/>
    </row>
    <row r="424" spans="11:11" ht="13">
      <c r="K424" s="6"/>
    </row>
    <row r="425" spans="11:11" ht="13">
      <c r="K425" s="6"/>
    </row>
    <row r="426" spans="11:11" ht="13">
      <c r="K426" s="6"/>
    </row>
    <row r="427" spans="11:11" ht="13">
      <c r="K427" s="6"/>
    </row>
    <row r="428" spans="11:11" ht="13">
      <c r="K428" s="6"/>
    </row>
    <row r="429" spans="11:11" ht="13">
      <c r="K429" s="6"/>
    </row>
    <row r="430" spans="11:11" ht="13">
      <c r="K430" s="6"/>
    </row>
    <row r="431" spans="11:11" ht="13">
      <c r="K431" s="6"/>
    </row>
    <row r="432" spans="11:11" ht="13">
      <c r="K432" s="6"/>
    </row>
    <row r="433" spans="11:11" ht="13">
      <c r="K433" s="6"/>
    </row>
    <row r="434" spans="11:11" ht="13">
      <c r="K434" s="6"/>
    </row>
    <row r="435" spans="11:11" ht="13">
      <c r="K435" s="6"/>
    </row>
    <row r="436" spans="11:11" ht="13">
      <c r="K436" s="6"/>
    </row>
    <row r="437" spans="11:11" ht="13">
      <c r="K437" s="6"/>
    </row>
    <row r="438" spans="11:11" ht="13">
      <c r="K438" s="6"/>
    </row>
    <row r="439" spans="11:11" ht="13">
      <c r="K439" s="6"/>
    </row>
    <row r="440" spans="11:11" ht="13">
      <c r="K440" s="6"/>
    </row>
    <row r="441" spans="11:11" ht="13">
      <c r="K441" s="6"/>
    </row>
    <row r="442" spans="11:11" ht="13">
      <c r="K442" s="6"/>
    </row>
    <row r="443" spans="11:11" ht="13">
      <c r="K443" s="6"/>
    </row>
    <row r="444" spans="11:11" ht="13">
      <c r="K444" s="6"/>
    </row>
    <row r="445" spans="11:11" ht="13">
      <c r="K445" s="6"/>
    </row>
    <row r="446" spans="11:11" ht="13">
      <c r="K446" s="6"/>
    </row>
    <row r="447" spans="11:11" ht="13">
      <c r="K447" s="6"/>
    </row>
    <row r="448" spans="11:11" ht="13">
      <c r="K448" s="6"/>
    </row>
    <row r="449" spans="11:11" ht="13">
      <c r="K449" s="6"/>
    </row>
    <row r="450" spans="11:11" ht="13">
      <c r="K450" s="6"/>
    </row>
    <row r="451" spans="11:11" ht="13">
      <c r="K451" s="6"/>
    </row>
    <row r="452" spans="11:11" ht="13">
      <c r="K452" s="6"/>
    </row>
    <row r="453" spans="11:11" ht="13">
      <c r="K453" s="6"/>
    </row>
    <row r="454" spans="11:11" ht="13">
      <c r="K454" s="6"/>
    </row>
    <row r="455" spans="11:11" ht="13">
      <c r="K455" s="6"/>
    </row>
    <row r="456" spans="11:11" ht="13">
      <c r="K456" s="6"/>
    </row>
    <row r="457" spans="11:11" ht="13">
      <c r="K457" s="6"/>
    </row>
    <row r="458" spans="11:11" ht="13">
      <c r="K458" s="6"/>
    </row>
    <row r="459" spans="11:11" ht="13">
      <c r="K459" s="6"/>
    </row>
    <row r="460" spans="11:11" ht="13">
      <c r="K460" s="6"/>
    </row>
    <row r="461" spans="11:11" ht="13">
      <c r="K461" s="6"/>
    </row>
    <row r="462" spans="11:11" ht="13">
      <c r="K462" s="6"/>
    </row>
    <row r="463" spans="11:11" ht="13">
      <c r="K463" s="6"/>
    </row>
    <row r="464" spans="11:11" ht="13">
      <c r="K464" s="6"/>
    </row>
    <row r="465" spans="11:11" ht="13">
      <c r="K465" s="6"/>
    </row>
    <row r="466" spans="11:11" ht="13">
      <c r="K466" s="6"/>
    </row>
    <row r="467" spans="11:11" ht="13">
      <c r="K467" s="6"/>
    </row>
    <row r="468" spans="11:11" ht="13">
      <c r="K468" s="6"/>
    </row>
    <row r="469" spans="11:11" ht="13">
      <c r="K469" s="6"/>
    </row>
    <row r="470" spans="11:11" ht="13">
      <c r="K470" s="6"/>
    </row>
    <row r="471" spans="11:11" ht="13">
      <c r="K471" s="6"/>
    </row>
    <row r="472" spans="11:11" ht="13">
      <c r="K472" s="6"/>
    </row>
    <row r="473" spans="11:11" ht="13">
      <c r="K473" s="6"/>
    </row>
    <row r="474" spans="11:11" ht="13">
      <c r="K474" s="6"/>
    </row>
    <row r="475" spans="11:11" ht="13">
      <c r="K475" s="6"/>
    </row>
    <row r="476" spans="11:11" ht="13">
      <c r="K476" s="6"/>
    </row>
    <row r="477" spans="11:11" ht="13">
      <c r="K477" s="6"/>
    </row>
    <row r="478" spans="11:11" ht="13">
      <c r="K478" s="6"/>
    </row>
    <row r="479" spans="11:11" ht="13">
      <c r="K479" s="6"/>
    </row>
    <row r="480" spans="11:11" ht="13">
      <c r="K480" s="6"/>
    </row>
    <row r="481" spans="11:11" ht="13">
      <c r="K481" s="6"/>
    </row>
    <row r="482" spans="11:11" ht="13">
      <c r="K482" s="6"/>
    </row>
    <row r="483" spans="11:11" ht="13">
      <c r="K483" s="6"/>
    </row>
    <row r="484" spans="11:11" ht="13">
      <c r="K484" s="6"/>
    </row>
    <row r="485" spans="11:11" ht="13">
      <c r="K485" s="6"/>
    </row>
    <row r="486" spans="11:11" ht="13">
      <c r="K486" s="6"/>
    </row>
    <row r="487" spans="11:11" ht="13">
      <c r="K487" s="6"/>
    </row>
    <row r="488" spans="11:11" ht="13">
      <c r="K488" s="6"/>
    </row>
    <row r="489" spans="11:11" ht="13">
      <c r="K489" s="6"/>
    </row>
    <row r="490" spans="11:11" ht="13">
      <c r="K490" s="6"/>
    </row>
    <row r="491" spans="11:11" ht="13">
      <c r="K491" s="6"/>
    </row>
    <row r="492" spans="11:11" ht="13">
      <c r="K492" s="6"/>
    </row>
    <row r="493" spans="11:11" ht="13">
      <c r="K493" s="6"/>
    </row>
    <row r="494" spans="11:11" ht="13">
      <c r="K494" s="6"/>
    </row>
    <row r="495" spans="11:11" ht="13">
      <c r="K495" s="6"/>
    </row>
    <row r="496" spans="11:11" ht="13">
      <c r="K496" s="6"/>
    </row>
    <row r="497" spans="11:11" ht="13">
      <c r="K497" s="6"/>
    </row>
    <row r="498" spans="11:11" ht="13">
      <c r="K498" s="6"/>
    </row>
    <row r="499" spans="11:11" ht="13">
      <c r="K499" s="6"/>
    </row>
    <row r="500" spans="11:11" ht="13">
      <c r="K500" s="6"/>
    </row>
    <row r="501" spans="11:11" ht="13">
      <c r="K501" s="6"/>
    </row>
    <row r="502" spans="11:11" ht="13">
      <c r="K502" s="6"/>
    </row>
    <row r="503" spans="11:11" ht="13">
      <c r="K503" s="6"/>
    </row>
    <row r="504" spans="11:11" ht="13">
      <c r="K504" s="6"/>
    </row>
    <row r="505" spans="11:11" ht="13">
      <c r="K505" s="6"/>
    </row>
    <row r="506" spans="11:11" ht="13">
      <c r="K506" s="6"/>
    </row>
    <row r="507" spans="11:11" ht="13">
      <c r="K507" s="6"/>
    </row>
    <row r="508" spans="11:11" ht="13">
      <c r="K508" s="6"/>
    </row>
    <row r="509" spans="11:11" ht="13">
      <c r="K509" s="6"/>
    </row>
    <row r="510" spans="11:11" ht="13">
      <c r="K510" s="6"/>
    </row>
    <row r="511" spans="11:11" ht="13">
      <c r="K511" s="6"/>
    </row>
    <row r="512" spans="11:11" ht="13">
      <c r="K512" s="6"/>
    </row>
    <row r="513" spans="11:11" ht="13">
      <c r="K513" s="6"/>
    </row>
    <row r="514" spans="11:11" ht="13">
      <c r="K514" s="6"/>
    </row>
    <row r="515" spans="11:11" ht="13">
      <c r="K515" s="6"/>
    </row>
    <row r="516" spans="11:11" ht="13">
      <c r="K516" s="6"/>
    </row>
    <row r="517" spans="11:11" ht="13">
      <c r="K517" s="6"/>
    </row>
    <row r="518" spans="11:11" ht="13">
      <c r="K518" s="6"/>
    </row>
    <row r="519" spans="11:11" ht="13">
      <c r="K519" s="6"/>
    </row>
    <row r="520" spans="11:11" ht="13">
      <c r="K520" s="6"/>
    </row>
    <row r="521" spans="11:11" ht="13">
      <c r="K521" s="6"/>
    </row>
    <row r="522" spans="11:11" ht="13">
      <c r="K522" s="6"/>
    </row>
    <row r="523" spans="11:11" ht="13">
      <c r="K523" s="6"/>
    </row>
    <row r="524" spans="11:11" ht="13">
      <c r="K524" s="6"/>
    </row>
    <row r="525" spans="11:11" ht="13">
      <c r="K525" s="6"/>
    </row>
    <row r="526" spans="11:11" ht="13">
      <c r="K526" s="6"/>
    </row>
    <row r="527" spans="11:11" ht="13">
      <c r="K527" s="6"/>
    </row>
    <row r="528" spans="11:11" ht="13">
      <c r="K528" s="6"/>
    </row>
    <row r="529" spans="11:11" ht="13">
      <c r="K529" s="6"/>
    </row>
    <row r="530" spans="11:11" ht="13">
      <c r="K530" s="6"/>
    </row>
    <row r="531" spans="11:11" ht="13">
      <c r="K531" s="6"/>
    </row>
    <row r="532" spans="11:11" ht="13">
      <c r="K532" s="6"/>
    </row>
    <row r="533" spans="11:11" ht="13">
      <c r="K533" s="6"/>
    </row>
    <row r="534" spans="11:11" ht="13">
      <c r="K534" s="6"/>
    </row>
    <row r="535" spans="11:11" ht="13">
      <c r="K535" s="6"/>
    </row>
    <row r="536" spans="11:11" ht="13">
      <c r="K536" s="6"/>
    </row>
    <row r="537" spans="11:11" ht="13">
      <c r="K537" s="6"/>
    </row>
    <row r="538" spans="11:11" ht="13">
      <c r="K538" s="6"/>
    </row>
    <row r="539" spans="11:11" ht="13">
      <c r="K539" s="6"/>
    </row>
    <row r="540" spans="11:11" ht="13">
      <c r="K540" s="6"/>
    </row>
    <row r="541" spans="11:11" ht="13">
      <c r="K541" s="6"/>
    </row>
    <row r="542" spans="11:11" ht="13">
      <c r="K542" s="6"/>
    </row>
    <row r="543" spans="11:11" ht="13">
      <c r="K543" s="6"/>
    </row>
    <row r="544" spans="11:11" ht="13">
      <c r="K544" s="6"/>
    </row>
    <row r="545" spans="11:11" ht="13">
      <c r="K545" s="6"/>
    </row>
    <row r="546" spans="11:11" ht="13">
      <c r="K546" s="6"/>
    </row>
    <row r="547" spans="11:11" ht="13">
      <c r="K547" s="6"/>
    </row>
    <row r="548" spans="11:11" ht="13">
      <c r="K548" s="6"/>
    </row>
    <row r="549" spans="11:11" ht="13">
      <c r="K549" s="6"/>
    </row>
    <row r="550" spans="11:11" ht="13">
      <c r="K550" s="6"/>
    </row>
    <row r="551" spans="11:11" ht="13">
      <c r="K551" s="6"/>
    </row>
    <row r="552" spans="11:11" ht="13">
      <c r="K552" s="6"/>
    </row>
    <row r="553" spans="11:11" ht="13">
      <c r="K553" s="6"/>
    </row>
    <row r="554" spans="11:11" ht="13">
      <c r="K554" s="6"/>
    </row>
    <row r="555" spans="11:11" ht="13">
      <c r="K555" s="6"/>
    </row>
    <row r="556" spans="11:11" ht="13">
      <c r="K556" s="6"/>
    </row>
    <row r="557" spans="11:11" ht="13">
      <c r="K557" s="6"/>
    </row>
    <row r="558" spans="11:11" ht="13">
      <c r="K558" s="6"/>
    </row>
    <row r="559" spans="11:11" ht="13">
      <c r="K559" s="6"/>
    </row>
    <row r="560" spans="11:11" ht="13">
      <c r="K560" s="6"/>
    </row>
    <row r="561" spans="11:11" ht="13">
      <c r="K561" s="6"/>
    </row>
    <row r="562" spans="11:11" ht="13">
      <c r="K562" s="6"/>
    </row>
    <row r="563" spans="11:11" ht="13">
      <c r="K563" s="6"/>
    </row>
    <row r="564" spans="11:11" ht="13">
      <c r="K564" s="6"/>
    </row>
    <row r="565" spans="11:11" ht="13">
      <c r="K565" s="6"/>
    </row>
    <row r="566" spans="11:11" ht="13">
      <c r="K566" s="6"/>
    </row>
    <row r="567" spans="11:11" ht="13">
      <c r="K567" s="6"/>
    </row>
    <row r="568" spans="11:11" ht="13">
      <c r="K568" s="6"/>
    </row>
    <row r="569" spans="11:11" ht="13">
      <c r="K569" s="6"/>
    </row>
    <row r="570" spans="11:11" ht="13">
      <c r="K570" s="6"/>
    </row>
    <row r="571" spans="11:11" ht="13">
      <c r="K571" s="6"/>
    </row>
    <row r="572" spans="11:11" ht="13">
      <c r="K572" s="6"/>
    </row>
    <row r="573" spans="11:11" ht="13">
      <c r="K573" s="6"/>
    </row>
    <row r="574" spans="11:11" ht="13">
      <c r="K574" s="6"/>
    </row>
    <row r="575" spans="11:11" ht="13">
      <c r="K575" s="6"/>
    </row>
    <row r="576" spans="11:11" ht="13">
      <c r="K576" s="6"/>
    </row>
    <row r="577" spans="11:11" ht="13">
      <c r="K577" s="6"/>
    </row>
    <row r="578" spans="11:11" ht="13">
      <c r="K578" s="6"/>
    </row>
    <row r="579" spans="11:11" ht="13">
      <c r="K579" s="6"/>
    </row>
    <row r="580" spans="11:11" ht="13">
      <c r="K580" s="6"/>
    </row>
    <row r="581" spans="11:11" ht="13">
      <c r="K581" s="6"/>
    </row>
    <row r="582" spans="11:11" ht="13">
      <c r="K582" s="6"/>
    </row>
    <row r="583" spans="11:11" ht="13">
      <c r="K583" s="6"/>
    </row>
    <row r="584" spans="11:11" ht="13">
      <c r="K584" s="6"/>
    </row>
    <row r="585" spans="11:11" ht="13">
      <c r="K585" s="6"/>
    </row>
    <row r="586" spans="11:11" ht="13">
      <c r="K586" s="6"/>
    </row>
    <row r="587" spans="11:11" ht="13">
      <c r="K587" s="6"/>
    </row>
    <row r="588" spans="11:11" ht="13">
      <c r="K588" s="6"/>
    </row>
    <row r="589" spans="11:11" ht="13">
      <c r="K589" s="6"/>
    </row>
    <row r="590" spans="11:11" ht="13">
      <c r="K590" s="6"/>
    </row>
    <row r="591" spans="11:11" ht="13">
      <c r="K591" s="6"/>
    </row>
    <row r="592" spans="11:11" ht="13">
      <c r="K592" s="6"/>
    </row>
    <row r="593" spans="11:11" ht="13">
      <c r="K593" s="6"/>
    </row>
    <row r="594" spans="11:11" ht="13">
      <c r="K594" s="6"/>
    </row>
    <row r="595" spans="11:11" ht="13">
      <c r="K595" s="6"/>
    </row>
    <row r="596" spans="11:11" ht="13">
      <c r="K596" s="6"/>
    </row>
    <row r="597" spans="11:11" ht="13">
      <c r="K597" s="6"/>
    </row>
    <row r="598" spans="11:11" ht="13">
      <c r="K598" s="6"/>
    </row>
    <row r="599" spans="11:11" ht="13">
      <c r="K599" s="6"/>
    </row>
    <row r="600" spans="11:11" ht="13">
      <c r="K600" s="6"/>
    </row>
    <row r="601" spans="11:11" ht="13">
      <c r="K601" s="6"/>
    </row>
    <row r="602" spans="11:11" ht="13">
      <c r="K602" s="6"/>
    </row>
    <row r="603" spans="11:11" ht="13">
      <c r="K603" s="6"/>
    </row>
    <row r="604" spans="11:11" ht="13">
      <c r="K604" s="6"/>
    </row>
    <row r="605" spans="11:11" ht="13">
      <c r="K605" s="6"/>
    </row>
    <row r="606" spans="11:11" ht="13">
      <c r="K606" s="6"/>
    </row>
    <row r="607" spans="11:11" ht="13">
      <c r="K607" s="6"/>
    </row>
    <row r="608" spans="11:11" ht="13">
      <c r="K608" s="6"/>
    </row>
    <row r="609" spans="11:11" ht="13">
      <c r="K609" s="6"/>
    </row>
    <row r="610" spans="11:11" ht="13">
      <c r="K610" s="6"/>
    </row>
    <row r="611" spans="11:11" ht="13">
      <c r="K611" s="6"/>
    </row>
    <row r="612" spans="11:11" ht="13">
      <c r="K612" s="6"/>
    </row>
    <row r="613" spans="11:11" ht="13">
      <c r="K613" s="6"/>
    </row>
    <row r="614" spans="11:11" ht="13">
      <c r="K614" s="6"/>
    </row>
    <row r="615" spans="11:11" ht="13">
      <c r="K615" s="6"/>
    </row>
    <row r="616" spans="11:11" ht="13">
      <c r="K616" s="6"/>
    </row>
    <row r="617" spans="11:11" ht="13">
      <c r="K617" s="6"/>
    </row>
    <row r="618" spans="11:11" ht="13">
      <c r="K618" s="6"/>
    </row>
    <row r="619" spans="11:11" ht="13">
      <c r="K619" s="6"/>
    </row>
    <row r="620" spans="11:11" ht="13">
      <c r="K620" s="6"/>
    </row>
    <row r="621" spans="11:11" ht="13">
      <c r="K621" s="6"/>
    </row>
    <row r="622" spans="11:11" ht="13">
      <c r="K622" s="6"/>
    </row>
    <row r="623" spans="11:11" ht="13">
      <c r="K623" s="6"/>
    </row>
    <row r="624" spans="11:11" ht="13">
      <c r="K624" s="6"/>
    </row>
    <row r="625" spans="11:11" ht="13">
      <c r="K625" s="6"/>
    </row>
    <row r="626" spans="11:11" ht="13">
      <c r="K626" s="6"/>
    </row>
    <row r="627" spans="11:11" ht="13">
      <c r="K627" s="6"/>
    </row>
    <row r="628" spans="11:11" ht="13">
      <c r="K628" s="6"/>
    </row>
    <row r="629" spans="11:11" ht="13">
      <c r="K629" s="6"/>
    </row>
    <row r="630" spans="11:11" ht="13">
      <c r="K630" s="6"/>
    </row>
    <row r="631" spans="11:11" ht="13">
      <c r="K631" s="6"/>
    </row>
    <row r="632" spans="11:11" ht="13">
      <c r="K632" s="6"/>
    </row>
    <row r="633" spans="11:11" ht="13">
      <c r="K633" s="6"/>
    </row>
    <row r="634" spans="11:11" ht="13">
      <c r="K634" s="6"/>
    </row>
    <row r="635" spans="11:11" ht="13">
      <c r="K635" s="6"/>
    </row>
    <row r="636" spans="11:11" ht="13">
      <c r="K636" s="6"/>
    </row>
    <row r="637" spans="11:11" ht="13">
      <c r="K637" s="6"/>
    </row>
    <row r="638" spans="11:11" ht="13">
      <c r="K638" s="6"/>
    </row>
    <row r="639" spans="11:11" ht="13">
      <c r="K639" s="6"/>
    </row>
    <row r="640" spans="11:11" ht="13">
      <c r="K640" s="6"/>
    </row>
    <row r="641" spans="11:11" ht="13">
      <c r="K641" s="6"/>
    </row>
    <row r="642" spans="11:11" ht="13">
      <c r="K642" s="6"/>
    </row>
    <row r="643" spans="11:11" ht="13">
      <c r="K643" s="6"/>
    </row>
    <row r="644" spans="11:11" ht="13">
      <c r="K644" s="6"/>
    </row>
    <row r="645" spans="11:11" ht="13">
      <c r="K645" s="6"/>
    </row>
    <row r="646" spans="11:11" ht="13">
      <c r="K646" s="6"/>
    </row>
    <row r="647" spans="11:11" ht="13">
      <c r="K647" s="6"/>
    </row>
    <row r="648" spans="11:11" ht="13">
      <c r="K648" s="6"/>
    </row>
    <row r="649" spans="11:11" ht="13">
      <c r="K649" s="6"/>
    </row>
    <row r="650" spans="11:11" ht="13">
      <c r="K650" s="6"/>
    </row>
    <row r="651" spans="11:11" ht="13">
      <c r="K651" s="6"/>
    </row>
    <row r="652" spans="11:11" ht="13">
      <c r="K652" s="6"/>
    </row>
    <row r="653" spans="11:11" ht="13">
      <c r="K653" s="6"/>
    </row>
    <row r="654" spans="11:11" ht="13">
      <c r="K654" s="6"/>
    </row>
    <row r="655" spans="11:11" ht="13">
      <c r="K655" s="6"/>
    </row>
    <row r="656" spans="11:11" ht="13">
      <c r="K656" s="6"/>
    </row>
    <row r="657" spans="11:11" ht="13">
      <c r="K657" s="6"/>
    </row>
    <row r="658" spans="11:11" ht="13">
      <c r="K658" s="6"/>
    </row>
    <row r="659" spans="11:11" ht="13">
      <c r="K659" s="6"/>
    </row>
    <row r="660" spans="11:11" ht="13">
      <c r="K660" s="6"/>
    </row>
    <row r="661" spans="11:11" ht="13">
      <c r="K661" s="6"/>
    </row>
    <row r="662" spans="11:11" ht="13">
      <c r="K662" s="6"/>
    </row>
    <row r="663" spans="11:11" ht="13">
      <c r="K663" s="6"/>
    </row>
    <row r="664" spans="11:11" ht="13">
      <c r="K664" s="6"/>
    </row>
    <row r="665" spans="11:11" ht="13">
      <c r="K665" s="6"/>
    </row>
    <row r="666" spans="11:11" ht="13">
      <c r="K666" s="6"/>
    </row>
    <row r="667" spans="11:11" ht="13">
      <c r="K667" s="6"/>
    </row>
    <row r="668" spans="11:11" ht="13">
      <c r="K668" s="6"/>
    </row>
    <row r="669" spans="11:11" ht="13">
      <c r="K669" s="6"/>
    </row>
    <row r="670" spans="11:11" ht="13">
      <c r="K670" s="6"/>
    </row>
    <row r="671" spans="11:11" ht="13">
      <c r="K671" s="6"/>
    </row>
    <row r="672" spans="11:11" ht="13">
      <c r="K672" s="6"/>
    </row>
    <row r="673" spans="11:11" ht="13">
      <c r="K673" s="6"/>
    </row>
    <row r="674" spans="11:11" ht="13">
      <c r="K674" s="6"/>
    </row>
    <row r="675" spans="11:11" ht="13">
      <c r="K675" s="6"/>
    </row>
    <row r="676" spans="11:11" ht="13">
      <c r="K676" s="6"/>
    </row>
    <row r="677" spans="11:11" ht="13">
      <c r="K677" s="6"/>
    </row>
    <row r="678" spans="11:11" ht="13">
      <c r="K678" s="6"/>
    </row>
    <row r="679" spans="11:11" ht="13">
      <c r="K679" s="6"/>
    </row>
    <row r="680" spans="11:11" ht="13">
      <c r="K680" s="6"/>
    </row>
    <row r="681" spans="11:11" ht="13">
      <c r="K681" s="6"/>
    </row>
    <row r="682" spans="11:11" ht="13">
      <c r="K682" s="6"/>
    </row>
    <row r="683" spans="11:11" ht="13">
      <c r="K683" s="6"/>
    </row>
    <row r="684" spans="11:11" ht="13">
      <c r="K684" s="6"/>
    </row>
    <row r="685" spans="11:11" ht="13">
      <c r="K685" s="6"/>
    </row>
    <row r="686" spans="11:11" ht="13">
      <c r="K686" s="6"/>
    </row>
    <row r="687" spans="11:11" ht="13">
      <c r="K687" s="6"/>
    </row>
    <row r="688" spans="11:11" ht="13">
      <c r="K688" s="6"/>
    </row>
    <row r="689" spans="11:11" ht="13">
      <c r="K689" s="6"/>
    </row>
    <row r="690" spans="11:11" ht="13">
      <c r="K690" s="6"/>
    </row>
    <row r="691" spans="11:11" ht="13">
      <c r="K691" s="6"/>
    </row>
    <row r="692" spans="11:11" ht="13">
      <c r="K692" s="6"/>
    </row>
    <row r="693" spans="11:11" ht="13">
      <c r="K693" s="6"/>
    </row>
    <row r="694" spans="11:11" ht="13">
      <c r="K694" s="6"/>
    </row>
    <row r="695" spans="11:11" ht="13">
      <c r="K695" s="6"/>
    </row>
    <row r="696" spans="11:11" ht="13">
      <c r="K696" s="6"/>
    </row>
    <row r="697" spans="11:11" ht="13">
      <c r="K697" s="6"/>
    </row>
    <row r="698" spans="11:11" ht="13">
      <c r="K698" s="6"/>
    </row>
    <row r="699" spans="11:11" ht="13">
      <c r="K699" s="6"/>
    </row>
    <row r="700" spans="11:11" ht="13">
      <c r="K700" s="6"/>
    </row>
    <row r="701" spans="11:11" ht="13">
      <c r="K701" s="6"/>
    </row>
    <row r="702" spans="11:11" ht="13">
      <c r="K702" s="6"/>
    </row>
    <row r="703" spans="11:11" ht="13">
      <c r="K703" s="6"/>
    </row>
    <row r="704" spans="11:11" ht="13">
      <c r="K704" s="6"/>
    </row>
    <row r="705" spans="11:11" ht="13">
      <c r="K705" s="6"/>
    </row>
    <row r="706" spans="11:11" ht="13">
      <c r="K706" s="6"/>
    </row>
    <row r="707" spans="11:11" ht="13">
      <c r="K707" s="6"/>
    </row>
    <row r="708" spans="11:11" ht="13">
      <c r="K708" s="6"/>
    </row>
    <row r="709" spans="11:11" ht="13">
      <c r="K709" s="6"/>
    </row>
    <row r="710" spans="11:11" ht="13">
      <c r="K710" s="6"/>
    </row>
    <row r="711" spans="11:11" ht="13">
      <c r="K711" s="6"/>
    </row>
    <row r="712" spans="11:11" ht="13">
      <c r="K712" s="6"/>
    </row>
    <row r="713" spans="11:11" ht="13">
      <c r="K713" s="6"/>
    </row>
    <row r="714" spans="11:11" ht="13">
      <c r="K714" s="6"/>
    </row>
    <row r="715" spans="11:11" ht="13">
      <c r="K715" s="6"/>
    </row>
    <row r="716" spans="11:11" ht="13">
      <c r="K716" s="6"/>
    </row>
    <row r="717" spans="11:11" ht="13">
      <c r="K717" s="6"/>
    </row>
    <row r="718" spans="11:11" ht="13">
      <c r="K718" s="6"/>
    </row>
    <row r="719" spans="11:11" ht="13">
      <c r="K719" s="6"/>
    </row>
    <row r="720" spans="11:11" ht="13">
      <c r="K720" s="6"/>
    </row>
    <row r="721" spans="11:11" ht="13">
      <c r="K721" s="6"/>
    </row>
    <row r="722" spans="11:11" ht="13">
      <c r="K722" s="6"/>
    </row>
    <row r="723" spans="11:11" ht="13">
      <c r="K723" s="6"/>
    </row>
    <row r="724" spans="11:11" ht="13">
      <c r="K724" s="6"/>
    </row>
    <row r="725" spans="11:11" ht="13">
      <c r="K725" s="6"/>
    </row>
    <row r="726" spans="11:11" ht="13">
      <c r="K726" s="6"/>
    </row>
    <row r="727" spans="11:11" ht="13">
      <c r="K727" s="6"/>
    </row>
    <row r="728" spans="11:11" ht="13">
      <c r="K728" s="6"/>
    </row>
    <row r="729" spans="11:11" ht="13">
      <c r="K729" s="6"/>
    </row>
    <row r="730" spans="11:11" ht="13">
      <c r="K730" s="6"/>
    </row>
    <row r="731" spans="11:11" ht="13">
      <c r="K731" s="6"/>
    </row>
    <row r="732" spans="11:11" ht="13">
      <c r="K732" s="6"/>
    </row>
    <row r="733" spans="11:11" ht="13">
      <c r="K733" s="6"/>
    </row>
    <row r="734" spans="11:11" ht="13">
      <c r="K734" s="6"/>
    </row>
    <row r="735" spans="11:11" ht="13">
      <c r="K735" s="6"/>
    </row>
    <row r="736" spans="11:11" ht="13">
      <c r="K736" s="6"/>
    </row>
    <row r="737" spans="11:11" ht="13">
      <c r="K737" s="6"/>
    </row>
    <row r="738" spans="11:11" ht="13">
      <c r="K738" s="6"/>
    </row>
    <row r="739" spans="11:11" ht="13">
      <c r="K739" s="6"/>
    </row>
    <row r="740" spans="11:11" ht="13">
      <c r="K740" s="6"/>
    </row>
    <row r="741" spans="11:11" ht="13">
      <c r="K741" s="6"/>
    </row>
    <row r="742" spans="11:11" ht="13">
      <c r="K742" s="6"/>
    </row>
    <row r="743" spans="11:11" ht="13">
      <c r="K743" s="6"/>
    </row>
    <row r="744" spans="11:11" ht="13">
      <c r="K744" s="6"/>
    </row>
    <row r="745" spans="11:11" ht="13">
      <c r="K745" s="6"/>
    </row>
    <row r="746" spans="11:11" ht="13">
      <c r="K746" s="6"/>
    </row>
    <row r="747" spans="11:11" ht="13">
      <c r="K747" s="6"/>
    </row>
    <row r="748" spans="11:11" ht="13">
      <c r="K748" s="6"/>
    </row>
    <row r="749" spans="11:11" ht="13">
      <c r="K749" s="6"/>
    </row>
    <row r="750" spans="11:11" ht="13">
      <c r="K750" s="6"/>
    </row>
    <row r="751" spans="11:11" ht="13">
      <c r="K751" s="6"/>
    </row>
    <row r="752" spans="11:11" ht="13">
      <c r="K752" s="6"/>
    </row>
    <row r="753" spans="11:11" ht="13">
      <c r="K753" s="6"/>
    </row>
    <row r="754" spans="11:11" ht="13">
      <c r="K754" s="6"/>
    </row>
    <row r="755" spans="11:11" ht="13">
      <c r="K755" s="6"/>
    </row>
    <row r="756" spans="11:11" ht="13">
      <c r="K756" s="6"/>
    </row>
    <row r="757" spans="11:11" ht="13">
      <c r="K757" s="6"/>
    </row>
    <row r="758" spans="11:11" ht="13">
      <c r="K758" s="6"/>
    </row>
    <row r="759" spans="11:11" ht="13">
      <c r="K759" s="6"/>
    </row>
    <row r="760" spans="11:11" ht="13">
      <c r="K760" s="6"/>
    </row>
    <row r="761" spans="11:11" ht="13">
      <c r="K761" s="6"/>
    </row>
    <row r="762" spans="11:11" ht="13">
      <c r="K762" s="6"/>
    </row>
    <row r="763" spans="11:11" ht="13">
      <c r="K763" s="6"/>
    </row>
    <row r="764" spans="11:11" ht="13">
      <c r="K764" s="6"/>
    </row>
    <row r="765" spans="11:11" ht="13">
      <c r="K765" s="6"/>
    </row>
    <row r="766" spans="11:11" ht="13">
      <c r="K766" s="6"/>
    </row>
    <row r="767" spans="11:11" ht="13">
      <c r="K767" s="6"/>
    </row>
    <row r="768" spans="11:11" ht="13">
      <c r="K768" s="6"/>
    </row>
    <row r="769" spans="11:11" ht="13">
      <c r="K769" s="6"/>
    </row>
    <row r="770" spans="11:11" ht="13">
      <c r="K770" s="6"/>
    </row>
    <row r="771" spans="11:11" ht="13">
      <c r="K771" s="6"/>
    </row>
    <row r="772" spans="11:11" ht="13">
      <c r="K772" s="6"/>
    </row>
    <row r="773" spans="11:11" ht="13">
      <c r="K773" s="6"/>
    </row>
    <row r="774" spans="11:11" ht="13">
      <c r="K774" s="6"/>
    </row>
    <row r="775" spans="11:11" ht="13">
      <c r="K775" s="6"/>
    </row>
    <row r="776" spans="11:11" ht="13">
      <c r="K776" s="6"/>
    </row>
    <row r="777" spans="11:11" ht="13">
      <c r="K777" s="6"/>
    </row>
    <row r="778" spans="11:11" ht="13">
      <c r="K778" s="6"/>
    </row>
    <row r="779" spans="11:11" ht="13">
      <c r="K779" s="6"/>
    </row>
    <row r="780" spans="11:11" ht="13">
      <c r="K780" s="6"/>
    </row>
    <row r="781" spans="11:11" ht="13">
      <c r="K781" s="6"/>
    </row>
    <row r="782" spans="11:11" ht="13">
      <c r="K782" s="6"/>
    </row>
    <row r="783" spans="11:11" ht="13">
      <c r="K783" s="6"/>
    </row>
    <row r="784" spans="11:11" ht="13">
      <c r="K784" s="6"/>
    </row>
    <row r="785" spans="11:11" ht="13">
      <c r="K785" s="6"/>
    </row>
    <row r="786" spans="11:11" ht="13">
      <c r="K786" s="6"/>
    </row>
    <row r="787" spans="11:11" ht="13">
      <c r="K787" s="6"/>
    </row>
    <row r="788" spans="11:11" ht="13">
      <c r="K788" s="6"/>
    </row>
    <row r="789" spans="11:11" ht="13">
      <c r="K789" s="6"/>
    </row>
    <row r="790" spans="11:11" ht="13">
      <c r="K790" s="6"/>
    </row>
    <row r="791" spans="11:11" ht="13">
      <c r="K791" s="6"/>
    </row>
    <row r="792" spans="11:11" ht="13">
      <c r="K792" s="6"/>
    </row>
    <row r="793" spans="11:11" ht="13">
      <c r="K793" s="6"/>
    </row>
    <row r="794" spans="11:11" ht="13">
      <c r="K794" s="6"/>
    </row>
    <row r="795" spans="11:11" ht="13">
      <c r="K795" s="6"/>
    </row>
    <row r="796" spans="11:11" ht="13">
      <c r="K796" s="6"/>
    </row>
    <row r="797" spans="11:11" ht="13">
      <c r="K797" s="6"/>
    </row>
    <row r="798" spans="11:11" ht="13">
      <c r="K798" s="6"/>
    </row>
    <row r="799" spans="11:11" ht="13">
      <c r="K799" s="6"/>
    </row>
    <row r="800" spans="11:11" ht="13">
      <c r="K800" s="6"/>
    </row>
    <row r="801" spans="11:11" ht="13">
      <c r="K801" s="6"/>
    </row>
    <row r="802" spans="11:11" ht="13">
      <c r="K802" s="6"/>
    </row>
    <row r="803" spans="11:11" ht="13">
      <c r="K803" s="6"/>
    </row>
    <row r="804" spans="11:11" ht="13">
      <c r="K804" s="6"/>
    </row>
    <row r="805" spans="11:11" ht="13">
      <c r="K805" s="6"/>
    </row>
    <row r="806" spans="11:11" ht="13">
      <c r="K806" s="6"/>
    </row>
    <row r="807" spans="11:11" ht="13">
      <c r="K807" s="6"/>
    </row>
    <row r="808" spans="11:11" ht="13">
      <c r="K808" s="6"/>
    </row>
    <row r="809" spans="11:11" ht="13">
      <c r="K809" s="6"/>
    </row>
    <row r="810" spans="11:11" ht="13">
      <c r="K810" s="6"/>
    </row>
    <row r="811" spans="11:11" ht="13">
      <c r="K811" s="6"/>
    </row>
    <row r="812" spans="11:11" ht="13">
      <c r="K812" s="6"/>
    </row>
    <row r="813" spans="11:11" ht="13">
      <c r="K813" s="6"/>
    </row>
    <row r="814" spans="11:11" ht="13">
      <c r="K814" s="6"/>
    </row>
    <row r="815" spans="11:11" ht="13">
      <c r="K815" s="6"/>
    </row>
    <row r="816" spans="11:11" ht="13">
      <c r="K816" s="6"/>
    </row>
    <row r="817" spans="11:11" ht="13">
      <c r="K817" s="6"/>
    </row>
    <row r="818" spans="11:11" ht="13">
      <c r="K818" s="6"/>
    </row>
    <row r="819" spans="11:11" ht="13">
      <c r="K819" s="6"/>
    </row>
    <row r="820" spans="11:11" ht="13">
      <c r="K820" s="6"/>
    </row>
    <row r="821" spans="11:11" ht="13">
      <c r="K821" s="6"/>
    </row>
    <row r="822" spans="11:11" ht="13">
      <c r="K822" s="6"/>
    </row>
    <row r="823" spans="11:11" ht="13">
      <c r="K823" s="6"/>
    </row>
    <row r="824" spans="11:11" ht="13">
      <c r="K824" s="6"/>
    </row>
    <row r="825" spans="11:11" ht="13">
      <c r="K825" s="6"/>
    </row>
    <row r="826" spans="11:11" ht="13">
      <c r="K826" s="6"/>
    </row>
    <row r="827" spans="11:11" ht="13">
      <c r="K827" s="6"/>
    </row>
    <row r="828" spans="11:11" ht="13">
      <c r="K828" s="6"/>
    </row>
    <row r="829" spans="11:11" ht="13">
      <c r="K829" s="6"/>
    </row>
    <row r="830" spans="11:11" ht="13">
      <c r="K830" s="6"/>
    </row>
    <row r="831" spans="11:11" ht="13">
      <c r="K831" s="6"/>
    </row>
    <row r="832" spans="11:11" ht="13">
      <c r="K832" s="6"/>
    </row>
    <row r="833" spans="11:11" ht="13">
      <c r="K833" s="6"/>
    </row>
    <row r="834" spans="11:11" ht="13">
      <c r="K834" s="6"/>
    </row>
    <row r="835" spans="11:11" ht="13">
      <c r="K835" s="6"/>
    </row>
    <row r="836" spans="11:11" ht="13">
      <c r="K836" s="6"/>
    </row>
    <row r="837" spans="11:11" ht="13">
      <c r="K837" s="6"/>
    </row>
    <row r="838" spans="11:11" ht="13">
      <c r="K838" s="6"/>
    </row>
    <row r="839" spans="11:11" ht="13">
      <c r="K839" s="6"/>
    </row>
    <row r="840" spans="11:11" ht="13">
      <c r="K840" s="6"/>
    </row>
    <row r="841" spans="11:11" ht="13">
      <c r="K841" s="6"/>
    </row>
    <row r="842" spans="11:11" ht="13">
      <c r="K842" s="6"/>
    </row>
    <row r="843" spans="11:11" ht="13">
      <c r="K843" s="6"/>
    </row>
    <row r="844" spans="11:11" ht="13">
      <c r="K844" s="6"/>
    </row>
    <row r="845" spans="11:11" ht="13">
      <c r="K845" s="6"/>
    </row>
    <row r="846" spans="11:11" ht="13">
      <c r="K846" s="6"/>
    </row>
    <row r="847" spans="11:11" ht="13">
      <c r="K847" s="6"/>
    </row>
    <row r="848" spans="11:11" ht="13">
      <c r="K848" s="6"/>
    </row>
    <row r="849" spans="11:11" ht="13">
      <c r="K849" s="6"/>
    </row>
    <row r="850" spans="11:11" ht="13">
      <c r="K850" s="6"/>
    </row>
    <row r="851" spans="11:11" ht="13">
      <c r="K851" s="6"/>
    </row>
    <row r="852" spans="11:11" ht="13">
      <c r="K852" s="6"/>
    </row>
    <row r="853" spans="11:11" ht="13">
      <c r="K853" s="6"/>
    </row>
    <row r="854" spans="11:11" ht="13">
      <c r="K854" s="6"/>
    </row>
    <row r="855" spans="11:11" ht="13">
      <c r="K855" s="6"/>
    </row>
    <row r="856" spans="11:11" ht="13">
      <c r="K856" s="6"/>
    </row>
    <row r="857" spans="11:11" ht="13">
      <c r="K857" s="6"/>
    </row>
    <row r="858" spans="11:11" ht="13">
      <c r="K858" s="6"/>
    </row>
    <row r="859" spans="11:11" ht="13">
      <c r="K859" s="6"/>
    </row>
    <row r="860" spans="11:11" ht="13">
      <c r="K860" s="6"/>
    </row>
    <row r="861" spans="11:11" ht="13">
      <c r="K861" s="6"/>
    </row>
    <row r="862" spans="11:11" ht="13">
      <c r="K862" s="6"/>
    </row>
    <row r="863" spans="11:11" ht="13">
      <c r="K863" s="6"/>
    </row>
    <row r="864" spans="11:11" ht="13">
      <c r="K864" s="6"/>
    </row>
    <row r="865" spans="11:11" ht="13">
      <c r="K865" s="6"/>
    </row>
    <row r="866" spans="11:11" ht="13">
      <c r="K866" s="6"/>
    </row>
    <row r="867" spans="11:11" ht="13">
      <c r="K867" s="6"/>
    </row>
    <row r="868" spans="11:11" ht="13">
      <c r="K868" s="6"/>
    </row>
    <row r="869" spans="11:11" ht="13">
      <c r="K869" s="6"/>
    </row>
    <row r="870" spans="11:11" ht="13">
      <c r="K870" s="6"/>
    </row>
    <row r="871" spans="11:11" ht="13">
      <c r="K871" s="6"/>
    </row>
    <row r="872" spans="11:11" ht="13">
      <c r="K872" s="6"/>
    </row>
    <row r="873" spans="11:11" ht="13">
      <c r="K873" s="6"/>
    </row>
    <row r="874" spans="11:11" ht="13">
      <c r="K874" s="6"/>
    </row>
    <row r="875" spans="11:11" ht="13">
      <c r="K875" s="6"/>
    </row>
    <row r="876" spans="11:11" ht="13">
      <c r="K876" s="6"/>
    </row>
    <row r="877" spans="11:11" ht="13">
      <c r="K877" s="6"/>
    </row>
    <row r="878" spans="11:11" ht="13">
      <c r="K878" s="6"/>
    </row>
    <row r="879" spans="11:11" ht="13">
      <c r="K879" s="6"/>
    </row>
    <row r="880" spans="11:11" ht="13">
      <c r="K880" s="6"/>
    </row>
    <row r="881" spans="11:11" ht="13">
      <c r="K881" s="6"/>
    </row>
    <row r="882" spans="11:11" ht="13">
      <c r="K882" s="6"/>
    </row>
    <row r="883" spans="11:11" ht="13">
      <c r="K883" s="6"/>
    </row>
    <row r="884" spans="11:11" ht="13">
      <c r="K884" s="6"/>
    </row>
    <row r="885" spans="11:11" ht="13">
      <c r="K885" s="6"/>
    </row>
    <row r="886" spans="11:11" ht="13">
      <c r="K886" s="6"/>
    </row>
    <row r="887" spans="11:11" ht="13">
      <c r="K887" s="6"/>
    </row>
    <row r="888" spans="11:11" ht="13">
      <c r="K888" s="6"/>
    </row>
    <row r="889" spans="11:11" ht="13">
      <c r="K889" s="6"/>
    </row>
    <row r="890" spans="11:11" ht="13">
      <c r="K890" s="6"/>
    </row>
    <row r="891" spans="11:11" ht="13">
      <c r="K891" s="6"/>
    </row>
    <row r="892" spans="11:11" ht="13">
      <c r="K892" s="6"/>
    </row>
    <row r="893" spans="11:11" ht="13">
      <c r="K893" s="6"/>
    </row>
    <row r="894" spans="11:11" ht="13">
      <c r="K894" s="6"/>
    </row>
    <row r="895" spans="11:11" ht="13">
      <c r="K895" s="6"/>
    </row>
    <row r="896" spans="11:11" ht="13">
      <c r="K896" s="6"/>
    </row>
    <row r="897" spans="11:11" ht="13">
      <c r="K897" s="6"/>
    </row>
    <row r="898" spans="11:11" ht="13">
      <c r="K898" s="6"/>
    </row>
    <row r="899" spans="11:11" ht="13">
      <c r="K899" s="6"/>
    </row>
    <row r="900" spans="11:11" ht="13">
      <c r="K900" s="6"/>
    </row>
    <row r="901" spans="11:11" ht="13">
      <c r="K901" s="6"/>
    </row>
    <row r="902" spans="11:11" ht="13">
      <c r="K902" s="6"/>
    </row>
    <row r="903" spans="11:11" ht="13">
      <c r="K903" s="6"/>
    </row>
    <row r="904" spans="11:11" ht="13">
      <c r="K904" s="6"/>
    </row>
    <row r="905" spans="11:11" ht="13">
      <c r="K905" s="6"/>
    </row>
    <row r="906" spans="11:11" ht="13">
      <c r="K906" s="6"/>
    </row>
    <row r="907" spans="11:11" ht="13">
      <c r="K907" s="6"/>
    </row>
    <row r="908" spans="11:11" ht="13">
      <c r="K908" s="6"/>
    </row>
    <row r="909" spans="11:11" ht="13">
      <c r="K909" s="6"/>
    </row>
    <row r="910" spans="11:11" ht="13">
      <c r="K910" s="6"/>
    </row>
    <row r="911" spans="11:11" ht="13">
      <c r="K911" s="6"/>
    </row>
    <row r="912" spans="11:11" ht="13">
      <c r="K912" s="6"/>
    </row>
    <row r="913" spans="11:11" ht="13">
      <c r="K913" s="6"/>
    </row>
    <row r="914" spans="11:11" ht="13">
      <c r="K914" s="6"/>
    </row>
    <row r="915" spans="11:11" ht="13">
      <c r="K915" s="6"/>
    </row>
    <row r="916" spans="11:11" ht="13">
      <c r="K916" s="6"/>
    </row>
    <row r="917" spans="11:11" ht="13">
      <c r="K917" s="6"/>
    </row>
    <row r="918" spans="11:11" ht="13">
      <c r="K918" s="6"/>
    </row>
    <row r="919" spans="11:11" ht="13">
      <c r="K919" s="6"/>
    </row>
    <row r="920" spans="11:11" ht="13">
      <c r="K920" s="6"/>
    </row>
    <row r="921" spans="11:11" ht="13">
      <c r="K921" s="6"/>
    </row>
    <row r="922" spans="11:11" ht="13">
      <c r="K922" s="6"/>
    </row>
    <row r="923" spans="11:11" ht="13">
      <c r="K923" s="6"/>
    </row>
    <row r="924" spans="11:11" ht="13">
      <c r="K924" s="6"/>
    </row>
    <row r="925" spans="11:11" ht="13">
      <c r="K925" s="6"/>
    </row>
    <row r="926" spans="11:11" ht="13">
      <c r="K926" s="6"/>
    </row>
    <row r="927" spans="11:11" ht="13">
      <c r="K927" s="6"/>
    </row>
    <row r="928" spans="11:11" ht="13">
      <c r="K928" s="6"/>
    </row>
    <row r="929" spans="11:11" ht="13">
      <c r="K929" s="6"/>
    </row>
    <row r="930" spans="11:11" ht="13">
      <c r="K930" s="6"/>
    </row>
    <row r="931" spans="11:11" ht="13">
      <c r="K931" s="6"/>
    </row>
    <row r="932" spans="11:11" ht="13">
      <c r="K932" s="6"/>
    </row>
    <row r="933" spans="11:11" ht="13">
      <c r="K933" s="6"/>
    </row>
    <row r="934" spans="11:11" ht="13">
      <c r="K934" s="6"/>
    </row>
    <row r="935" spans="11:11" ht="13">
      <c r="K935" s="6"/>
    </row>
    <row r="936" spans="11:11" ht="13">
      <c r="K936" s="6"/>
    </row>
    <row r="937" spans="11:11" ht="13">
      <c r="K937" s="6"/>
    </row>
    <row r="938" spans="11:11" ht="13">
      <c r="K938" s="6"/>
    </row>
    <row r="939" spans="11:11" ht="13">
      <c r="K939" s="6"/>
    </row>
    <row r="940" spans="11:11" ht="13">
      <c r="K940" s="6"/>
    </row>
    <row r="941" spans="11:11" ht="13">
      <c r="K941" s="6"/>
    </row>
    <row r="942" spans="11:11" ht="13">
      <c r="K942" s="6"/>
    </row>
    <row r="943" spans="11:11" ht="13">
      <c r="K943" s="6"/>
    </row>
    <row r="944" spans="11:11" ht="13">
      <c r="K944" s="6"/>
    </row>
    <row r="945" spans="11:11" ht="13">
      <c r="K945" s="6"/>
    </row>
    <row r="946" spans="11:11" ht="13">
      <c r="K946" s="6"/>
    </row>
    <row r="947" spans="11:11" ht="13">
      <c r="K947" s="6"/>
    </row>
    <row r="948" spans="11:11" ht="13">
      <c r="K948" s="6"/>
    </row>
    <row r="949" spans="11:11" ht="13">
      <c r="K949" s="6"/>
    </row>
    <row r="950" spans="11:11" ht="13">
      <c r="K950" s="6"/>
    </row>
    <row r="951" spans="11:11" ht="13">
      <c r="K951" s="6"/>
    </row>
    <row r="952" spans="11:11" ht="13">
      <c r="K952" s="6"/>
    </row>
    <row r="953" spans="11:11" ht="13">
      <c r="K953" s="6"/>
    </row>
    <row r="954" spans="11:11" ht="13">
      <c r="K954" s="6"/>
    </row>
    <row r="955" spans="11:11" ht="13">
      <c r="K955" s="6"/>
    </row>
    <row r="956" spans="11:11" ht="13">
      <c r="K956" s="6"/>
    </row>
    <row r="957" spans="11:11" ht="13">
      <c r="K957" s="6"/>
    </row>
    <row r="958" spans="11:11" ht="13">
      <c r="K958" s="6"/>
    </row>
    <row r="959" spans="11:11" ht="13">
      <c r="K959" s="6"/>
    </row>
    <row r="960" spans="11:11" ht="13">
      <c r="K960" s="6"/>
    </row>
    <row r="961" spans="11:11" ht="13">
      <c r="K961" s="6"/>
    </row>
    <row r="962" spans="11:11" ht="13">
      <c r="K962" s="6"/>
    </row>
    <row r="963" spans="11:11" ht="13">
      <c r="K963" s="6"/>
    </row>
    <row r="964" spans="11:11" ht="13">
      <c r="K964" s="6"/>
    </row>
    <row r="965" spans="11:11" ht="13">
      <c r="K965" s="6"/>
    </row>
    <row r="966" spans="11:11" ht="13">
      <c r="K966" s="6"/>
    </row>
    <row r="967" spans="11:11" ht="13">
      <c r="K967" s="6"/>
    </row>
    <row r="968" spans="11:11" ht="13">
      <c r="K968" s="6"/>
    </row>
    <row r="969" spans="11:11" ht="13">
      <c r="K969" s="6"/>
    </row>
    <row r="970" spans="11:11" ht="13">
      <c r="K970" s="6"/>
    </row>
    <row r="971" spans="11:11" ht="13">
      <c r="K971" s="6"/>
    </row>
    <row r="972" spans="11:11" ht="13">
      <c r="K972" s="6"/>
    </row>
    <row r="973" spans="11:11" ht="13">
      <c r="K973" s="6"/>
    </row>
    <row r="974" spans="11:11" ht="13">
      <c r="K974" s="6"/>
    </row>
    <row r="975" spans="11:11" ht="13">
      <c r="K975" s="6"/>
    </row>
    <row r="976" spans="11:11" ht="13">
      <c r="K976" s="6"/>
    </row>
    <row r="977" spans="11:11" ht="13">
      <c r="K977" s="6"/>
    </row>
    <row r="978" spans="11:11" ht="13">
      <c r="K978" s="6"/>
    </row>
    <row r="979" spans="11:11" ht="13">
      <c r="K979" s="6"/>
    </row>
    <row r="980" spans="11:11" ht="13">
      <c r="K980" s="6"/>
    </row>
    <row r="981" spans="11:11" ht="13">
      <c r="K981" s="6"/>
    </row>
    <row r="982" spans="11:11" ht="13">
      <c r="K982" s="6"/>
    </row>
    <row r="983" spans="11:11" ht="13">
      <c r="K983" s="6"/>
    </row>
    <row r="984" spans="11:11" ht="13">
      <c r="K984" s="6"/>
    </row>
    <row r="985" spans="11:11" ht="13">
      <c r="K985" s="6"/>
    </row>
    <row r="986" spans="11:11" ht="13">
      <c r="K986" s="6"/>
    </row>
    <row r="987" spans="11:11" ht="13">
      <c r="K987" s="6"/>
    </row>
    <row r="988" spans="11:11" ht="13">
      <c r="K988" s="6"/>
    </row>
    <row r="989" spans="11:11" ht="13">
      <c r="K989" s="6"/>
    </row>
    <row r="990" spans="11:11" ht="13">
      <c r="K990" s="6"/>
    </row>
    <row r="991" spans="11:11" ht="13">
      <c r="K991" s="6"/>
    </row>
    <row r="992" spans="11:11" ht="13">
      <c r="K992" s="6"/>
    </row>
    <row r="993" spans="11:11" ht="13">
      <c r="K993" s="6"/>
    </row>
    <row r="994" spans="11:11" ht="13">
      <c r="K994" s="6"/>
    </row>
    <row r="995" spans="11:11" ht="13">
      <c r="K995" s="6"/>
    </row>
    <row r="996" spans="11:11" ht="13">
      <c r="K996" s="6"/>
    </row>
    <row r="997" spans="11:11" ht="13">
      <c r="K997" s="6"/>
    </row>
    <row r="998" spans="11:11" ht="13">
      <c r="K998" s="6"/>
    </row>
    <row r="999" spans="11:11" ht="13">
      <c r="K999" s="6"/>
    </row>
    <row r="1000" spans="11:11" ht="13">
      <c r="K1000" s="6"/>
    </row>
    <row r="1001" spans="11:11" ht="13">
      <c r="K1001" s="6"/>
    </row>
    <row r="1002" spans="11:11" ht="13">
      <c r="K1002" s="6"/>
    </row>
    <row r="1003" spans="11:11" ht="13">
      <c r="K1003" s="6"/>
    </row>
    <row r="1004" spans="11:11" ht="13">
      <c r="K1004" s="6"/>
    </row>
    <row r="1005" spans="11:11" ht="13">
      <c r="K1005" s="6"/>
    </row>
    <row r="1006" spans="11:11" ht="13">
      <c r="K1006" s="6"/>
    </row>
    <row r="1007" spans="11:11" ht="13">
      <c r="K1007" s="6"/>
    </row>
    <row r="1008" spans="11:11" ht="13">
      <c r="K1008" s="6"/>
    </row>
    <row r="1009" spans="11:11" ht="13">
      <c r="K1009" s="6"/>
    </row>
    <row r="1010" spans="11:11" ht="13">
      <c r="K1010" s="6"/>
    </row>
    <row r="1011" spans="11:11" ht="13">
      <c r="K1011" s="6"/>
    </row>
    <row r="1012" spans="11:11" ht="13">
      <c r="K1012" s="6"/>
    </row>
    <row r="1013" spans="11:11" ht="13">
      <c r="K1013" s="6"/>
    </row>
    <row r="1014" spans="11:11" ht="13">
      <c r="K1014" s="6"/>
    </row>
    <row r="1015" spans="11:11" ht="13">
      <c r="K1015" s="6"/>
    </row>
    <row r="1016" spans="11:11" ht="13">
      <c r="K1016" s="6"/>
    </row>
    <row r="1017" spans="11:11" ht="13">
      <c r="K1017" s="6"/>
    </row>
    <row r="1018" spans="11:11" ht="13">
      <c r="K1018" s="6"/>
    </row>
    <row r="1019" spans="11:11" ht="13">
      <c r="K1019" s="6"/>
    </row>
    <row r="1020" spans="11:11" ht="13">
      <c r="K1020" s="6"/>
    </row>
    <row r="1021" spans="11:11" ht="13">
      <c r="K1021" s="6"/>
    </row>
    <row r="1022" spans="11:11" ht="13">
      <c r="K1022" s="6"/>
    </row>
    <row r="1023" spans="11:11" ht="13">
      <c r="K1023" s="6"/>
    </row>
    <row r="1024" spans="11:11" ht="13">
      <c r="K1024" s="6"/>
    </row>
    <row r="1025" spans="11:11" ht="13">
      <c r="K1025" s="6"/>
    </row>
    <row r="1026" spans="11:11" ht="13">
      <c r="K1026" s="6"/>
    </row>
    <row r="1027" spans="11:11" ht="13">
      <c r="K1027" s="6"/>
    </row>
    <row r="1028" spans="11:11" ht="13">
      <c r="K1028" s="6"/>
    </row>
    <row r="1029" spans="11:11" ht="13">
      <c r="K1029" s="6"/>
    </row>
    <row r="1030" spans="11:11" ht="13">
      <c r="K1030" s="6"/>
    </row>
    <row r="1031" spans="11:11" ht="13">
      <c r="K1031" s="6"/>
    </row>
  </sheetData>
  <mergeCells count="11">
    <mergeCell ref="A86:K86"/>
    <mergeCell ref="A94:K94"/>
    <mergeCell ref="A101:K101"/>
    <mergeCell ref="A118:K118"/>
    <mergeCell ref="A7:K7"/>
    <mergeCell ref="A17:K17"/>
    <mergeCell ref="A29:K29"/>
    <mergeCell ref="A45:K45"/>
    <mergeCell ref="A57:K57"/>
    <mergeCell ref="A66:K66"/>
    <mergeCell ref="A75:K75"/>
  </mergeCells>
  <phoneticPr fontId="251" type="noConversion"/>
  <hyperlinks>
    <hyperlink ref="K9" r:id="rId1" xr:uid="{00000000-0004-0000-0100-000000000000}"/>
    <hyperlink ref="K10" r:id="rId2" xr:uid="{00000000-0004-0000-0100-000001000000}"/>
    <hyperlink ref="K11" r:id="rId3" xr:uid="{00000000-0004-0000-0100-000002000000}"/>
    <hyperlink ref="K12" r:id="rId4" xr:uid="{00000000-0004-0000-0100-000003000000}"/>
    <hyperlink ref="K13" r:id="rId5" xr:uid="{00000000-0004-0000-0100-000004000000}"/>
    <hyperlink ref="K19" r:id="rId6" xr:uid="{00000000-0004-0000-0100-000005000000}"/>
    <hyperlink ref="K20" r:id="rId7" xr:uid="{00000000-0004-0000-0100-000006000000}"/>
    <hyperlink ref="K21" r:id="rId8" xr:uid="{00000000-0004-0000-0100-000007000000}"/>
    <hyperlink ref="K22" r:id="rId9" xr:uid="{00000000-0004-0000-0100-000008000000}"/>
    <hyperlink ref="K23" r:id="rId10" xr:uid="{00000000-0004-0000-0100-000009000000}"/>
    <hyperlink ref="K24" r:id="rId11" xr:uid="{00000000-0004-0000-0100-00000A000000}"/>
    <hyperlink ref="K25" r:id="rId12" xr:uid="{00000000-0004-0000-0100-00000B000000}"/>
    <hyperlink ref="K26" r:id="rId13" xr:uid="{00000000-0004-0000-0100-00000C000000}"/>
    <hyperlink ref="K62" r:id="rId14" xr:uid="{00000000-0004-0000-0100-00000D000000}"/>
    <hyperlink ref="K63" r:id="rId15" xr:uid="{00000000-0004-0000-0100-00000E000000}"/>
    <hyperlink ref="K109" r:id="rId16" xr:uid="{00000000-0004-0000-0100-00000F000000}"/>
    <hyperlink ref="K110" r:id="rId17" xr:uid="{00000000-0004-0000-0100-000010000000}"/>
    <hyperlink ref="K111" r:id="rId18" xr:uid="{00000000-0004-0000-0100-000011000000}"/>
  </hyperlinks>
  <pageMargins left="0.7" right="0.7" top="0.75" bottom="0.75" header="0.3" footer="0.3"/>
  <tableParts count="3"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32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17.1640625" customWidth="1"/>
    <col min="4" max="4" width="30.1640625" customWidth="1"/>
    <col min="5" max="5" width="19.1640625" customWidth="1"/>
    <col min="10" max="10" width="25.5" customWidth="1"/>
    <col min="11" max="11" width="15.6640625" customWidth="1"/>
    <col min="12" max="12" width="13.83203125" customWidth="1"/>
    <col min="13" max="13" width="23.6640625" customWidth="1"/>
    <col min="18" max="18" width="14.6640625" customWidth="1"/>
    <col min="19" max="19" width="14.1640625" customWidth="1"/>
    <col min="20" max="20" width="37.1640625" customWidth="1"/>
    <col min="25" max="25" width="22.1640625" customWidth="1"/>
  </cols>
  <sheetData>
    <row r="1" spans="1:27" ht="56.25" customHeight="1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27</v>
      </c>
      <c r="H1" s="10" t="s">
        <v>29</v>
      </c>
      <c r="I1" s="10" t="s">
        <v>27</v>
      </c>
      <c r="J1" s="14" t="s">
        <v>32</v>
      </c>
      <c r="K1" s="14" t="s">
        <v>37</v>
      </c>
      <c r="L1" s="15" t="s">
        <v>40</v>
      </c>
      <c r="M1" s="17" t="s">
        <v>45</v>
      </c>
      <c r="N1" s="17" t="s">
        <v>48</v>
      </c>
      <c r="O1" s="17" t="s">
        <v>49</v>
      </c>
      <c r="P1" s="17" t="s">
        <v>50</v>
      </c>
      <c r="Q1" s="17" t="s">
        <v>52</v>
      </c>
      <c r="R1" s="18" t="s">
        <v>53</v>
      </c>
      <c r="S1" s="23" t="s">
        <v>40</v>
      </c>
      <c r="T1" s="26" t="s">
        <v>61</v>
      </c>
      <c r="U1" s="26" t="s">
        <v>64</v>
      </c>
      <c r="V1" s="26" t="s">
        <v>65</v>
      </c>
      <c r="W1" s="26" t="s">
        <v>66</v>
      </c>
      <c r="X1" s="26" t="s">
        <v>68</v>
      </c>
      <c r="Y1" s="18" t="s">
        <v>53</v>
      </c>
      <c r="Z1" s="10" t="s">
        <v>70</v>
      </c>
      <c r="AA1" s="10" t="s">
        <v>71</v>
      </c>
    </row>
    <row r="2" spans="1:27" ht="13">
      <c r="A2" s="25" t="s">
        <v>59</v>
      </c>
      <c r="B2" s="30">
        <v>46178</v>
      </c>
      <c r="C2" s="32">
        <v>14</v>
      </c>
      <c r="D2" s="32" t="s">
        <v>75</v>
      </c>
      <c r="E2" s="34" t="s">
        <v>76</v>
      </c>
      <c r="F2" s="40" t="s">
        <v>79</v>
      </c>
      <c r="G2" s="43">
        <v>1685</v>
      </c>
      <c r="H2" s="40" t="s">
        <v>86</v>
      </c>
      <c r="I2" s="43">
        <v>3873</v>
      </c>
      <c r="J2" s="44" t="b">
        <v>1</v>
      </c>
      <c r="K2" s="44" t="b">
        <v>1</v>
      </c>
      <c r="L2" s="54">
        <v>46183</v>
      </c>
      <c r="M2" s="52" t="s">
        <v>92</v>
      </c>
      <c r="N2" s="57">
        <v>422</v>
      </c>
      <c r="O2" s="57">
        <v>26</v>
      </c>
      <c r="P2" s="57">
        <v>1</v>
      </c>
      <c r="Q2" s="57">
        <v>1</v>
      </c>
      <c r="R2" s="44" t="s">
        <v>97</v>
      </c>
      <c r="S2" s="54">
        <v>46183</v>
      </c>
      <c r="T2" s="52" t="s">
        <v>100</v>
      </c>
      <c r="U2" s="57">
        <v>1526</v>
      </c>
      <c r="V2" s="57">
        <v>89</v>
      </c>
      <c r="W2" s="44">
        <v>1</v>
      </c>
      <c r="X2" s="57">
        <v>4</v>
      </c>
      <c r="Y2" s="44"/>
      <c r="Z2" s="44" t="b">
        <v>0</v>
      </c>
      <c r="AA2" s="44"/>
    </row>
    <row r="3" spans="1:27" ht="13">
      <c r="A3" s="25" t="s">
        <v>59</v>
      </c>
      <c r="B3" s="30">
        <v>46178</v>
      </c>
      <c r="C3" s="63" t="s">
        <v>106</v>
      </c>
      <c r="D3" s="32" t="s">
        <v>108</v>
      </c>
      <c r="E3" s="65" t="s">
        <v>109</v>
      </c>
      <c r="F3" s="69" t="s">
        <v>111</v>
      </c>
      <c r="G3" s="70">
        <v>6530</v>
      </c>
      <c r="H3" s="69" t="s">
        <v>114</v>
      </c>
      <c r="I3" s="70">
        <v>25800</v>
      </c>
      <c r="J3" s="44" t="b">
        <v>1</v>
      </c>
      <c r="K3" s="44" t="b">
        <v>1</v>
      </c>
      <c r="L3" s="57"/>
      <c r="M3" s="44"/>
      <c r="N3" s="57"/>
      <c r="O3" s="44"/>
      <c r="P3" s="44"/>
      <c r="Q3" s="44"/>
      <c r="R3" s="44"/>
      <c r="S3" s="54">
        <v>46185</v>
      </c>
      <c r="T3" s="72" t="s">
        <v>123</v>
      </c>
      <c r="U3" s="57">
        <v>1501</v>
      </c>
      <c r="V3" s="57">
        <v>60</v>
      </c>
      <c r="W3" s="57">
        <v>2</v>
      </c>
      <c r="X3" s="57">
        <v>1</v>
      </c>
      <c r="Y3" s="44"/>
      <c r="Z3" s="44" t="b">
        <v>0</v>
      </c>
      <c r="AA3" s="44"/>
    </row>
    <row r="4" spans="1:27" ht="13">
      <c r="A4" s="25" t="s">
        <v>59</v>
      </c>
      <c r="B4" s="30">
        <v>46179</v>
      </c>
      <c r="C4" s="32" t="s">
        <v>124</v>
      </c>
      <c r="D4" s="32" t="s">
        <v>125</v>
      </c>
      <c r="E4" s="39" t="s">
        <v>126</v>
      </c>
      <c r="F4" s="69" t="s">
        <v>127</v>
      </c>
      <c r="G4" s="43">
        <v>1035</v>
      </c>
      <c r="H4" s="69" t="s">
        <v>132</v>
      </c>
      <c r="I4" s="43">
        <v>4260</v>
      </c>
      <c r="J4" s="44" t="b">
        <v>1</v>
      </c>
      <c r="K4" s="44" t="b">
        <v>1</v>
      </c>
      <c r="L4" s="54">
        <v>46184</v>
      </c>
      <c r="M4" s="72" t="s">
        <v>138</v>
      </c>
      <c r="N4" s="57">
        <v>346</v>
      </c>
      <c r="O4" s="57">
        <v>12</v>
      </c>
      <c r="P4" s="57">
        <v>2</v>
      </c>
      <c r="Q4" s="57">
        <v>1</v>
      </c>
      <c r="R4" s="44" t="s">
        <v>140</v>
      </c>
      <c r="S4" s="54">
        <v>46185</v>
      </c>
      <c r="T4" s="72" t="s">
        <v>141</v>
      </c>
      <c r="U4" s="57">
        <v>871</v>
      </c>
      <c r="V4" s="44"/>
      <c r="W4" s="44"/>
      <c r="X4" s="44"/>
      <c r="Y4" s="44"/>
      <c r="Z4" s="44" t="b">
        <v>0</v>
      </c>
      <c r="AA4" s="44"/>
    </row>
    <row r="5" spans="1:27" ht="13">
      <c r="A5" s="25" t="s">
        <v>59</v>
      </c>
      <c r="B5" s="77">
        <v>46181</v>
      </c>
      <c r="C5" s="78" t="s">
        <v>151</v>
      </c>
      <c r="D5" s="67" t="s">
        <v>142</v>
      </c>
      <c r="E5" s="79"/>
      <c r="F5" s="81" t="s">
        <v>157</v>
      </c>
      <c r="G5" s="82">
        <v>12800</v>
      </c>
      <c r="H5" s="81" t="s">
        <v>165</v>
      </c>
      <c r="I5" s="82">
        <v>27000</v>
      </c>
      <c r="J5" s="44" t="b">
        <v>1</v>
      </c>
      <c r="K5" s="44" t="b">
        <v>1</v>
      </c>
      <c r="L5" s="54">
        <v>46195</v>
      </c>
      <c r="M5" s="87" t="s">
        <v>148</v>
      </c>
      <c r="N5" s="57">
        <v>2844</v>
      </c>
      <c r="O5" s="44">
        <v>113</v>
      </c>
      <c r="P5" s="44">
        <v>3</v>
      </c>
      <c r="Q5" s="44">
        <v>32</v>
      </c>
      <c r="R5" s="44" t="s">
        <v>174</v>
      </c>
      <c r="S5" s="54">
        <v>46190</v>
      </c>
      <c r="T5" s="88" t="s">
        <v>176</v>
      </c>
      <c r="U5" s="89">
        <v>5762</v>
      </c>
      <c r="V5" s="90">
        <v>156</v>
      </c>
      <c r="W5" s="90">
        <v>2</v>
      </c>
      <c r="X5" s="90">
        <v>1</v>
      </c>
      <c r="Y5" s="44" t="s">
        <v>179</v>
      </c>
      <c r="Z5" s="44" t="b">
        <v>0</v>
      </c>
      <c r="AA5" s="44"/>
    </row>
    <row r="6" spans="1:27" ht="13">
      <c r="A6" s="25" t="s">
        <v>59</v>
      </c>
      <c r="B6" s="91">
        <v>46181</v>
      </c>
      <c r="C6" s="93">
        <v>0.58333333333333337</v>
      </c>
      <c r="D6" s="94" t="s">
        <v>180</v>
      </c>
      <c r="E6" s="96"/>
      <c r="F6" s="99" t="s">
        <v>182</v>
      </c>
      <c r="G6" s="100">
        <v>2136</v>
      </c>
      <c r="H6" s="99" t="s">
        <v>185</v>
      </c>
      <c r="I6" s="103">
        <v>47600</v>
      </c>
      <c r="J6" s="44" t="b">
        <v>1</v>
      </c>
      <c r="K6" s="44" t="b">
        <v>1</v>
      </c>
      <c r="L6" s="54">
        <v>46186</v>
      </c>
      <c r="M6" s="72" t="s">
        <v>156</v>
      </c>
      <c r="N6" s="57">
        <v>394</v>
      </c>
      <c r="O6" s="57">
        <v>26</v>
      </c>
      <c r="P6" s="57">
        <v>1</v>
      </c>
      <c r="Q6" s="57">
        <v>5</v>
      </c>
      <c r="R6" s="44"/>
      <c r="S6" s="54">
        <v>46191</v>
      </c>
      <c r="T6" s="72" t="s">
        <v>197</v>
      </c>
      <c r="U6" s="57">
        <v>536</v>
      </c>
      <c r="V6" s="57">
        <v>23</v>
      </c>
      <c r="W6" s="57">
        <v>0</v>
      </c>
      <c r="X6" s="44" t="s">
        <v>208</v>
      </c>
      <c r="Y6" s="106" t="s">
        <v>210</v>
      </c>
      <c r="Z6" s="44" t="b">
        <v>0</v>
      </c>
      <c r="AA6" s="44"/>
    </row>
    <row r="7" spans="1:27" ht="14">
      <c r="A7" s="25" t="s">
        <v>59</v>
      </c>
      <c r="B7" s="77">
        <v>46184</v>
      </c>
      <c r="C7" s="64">
        <v>0.625</v>
      </c>
      <c r="D7" s="67" t="s">
        <v>159</v>
      </c>
      <c r="E7" s="79"/>
      <c r="F7" s="81" t="s">
        <v>212</v>
      </c>
      <c r="G7" s="82">
        <v>18400</v>
      </c>
      <c r="H7" s="81" t="s">
        <v>225</v>
      </c>
      <c r="I7" s="82">
        <v>6412</v>
      </c>
      <c r="J7" s="44" t="b">
        <v>1</v>
      </c>
      <c r="K7" s="44" t="b">
        <v>1</v>
      </c>
      <c r="L7" s="54">
        <v>46190</v>
      </c>
      <c r="M7" s="87" t="s">
        <v>233</v>
      </c>
      <c r="N7" s="57">
        <v>2040</v>
      </c>
      <c r="O7" s="44">
        <v>63</v>
      </c>
      <c r="P7" s="44">
        <v>4</v>
      </c>
      <c r="Q7" s="44">
        <v>18</v>
      </c>
      <c r="R7" s="110" t="s">
        <v>241</v>
      </c>
      <c r="S7" s="54">
        <v>46190</v>
      </c>
      <c r="T7" s="72" t="s">
        <v>164</v>
      </c>
      <c r="U7" s="57">
        <v>8491</v>
      </c>
      <c r="V7" s="57">
        <v>99</v>
      </c>
      <c r="W7" s="57">
        <v>0</v>
      </c>
      <c r="X7" s="57">
        <v>2</v>
      </c>
      <c r="Y7" s="112" t="s">
        <v>251</v>
      </c>
      <c r="Z7" s="113" t="s">
        <v>210</v>
      </c>
      <c r="AA7" s="113" t="s">
        <v>253</v>
      </c>
    </row>
    <row r="8" spans="1:27" ht="13">
      <c r="A8" s="25" t="s">
        <v>59</v>
      </c>
      <c r="B8" s="30">
        <v>46194</v>
      </c>
      <c r="C8" s="63" t="s">
        <v>256</v>
      </c>
      <c r="D8" s="32" t="s">
        <v>173</v>
      </c>
      <c r="E8" s="34" t="s">
        <v>261</v>
      </c>
      <c r="F8" s="40" t="s">
        <v>264</v>
      </c>
      <c r="G8" s="43">
        <v>332</v>
      </c>
      <c r="H8" s="40" t="s">
        <v>272</v>
      </c>
      <c r="I8" s="43">
        <v>999</v>
      </c>
      <c r="J8" s="44" t="b">
        <v>1</v>
      </c>
      <c r="K8" s="44" t="b">
        <v>1</v>
      </c>
      <c r="L8" s="54">
        <v>46199</v>
      </c>
      <c r="M8" s="87" t="s">
        <v>177</v>
      </c>
      <c r="N8" s="57">
        <v>2015</v>
      </c>
      <c r="O8" s="44">
        <v>69</v>
      </c>
      <c r="P8" s="44">
        <v>3</v>
      </c>
      <c r="Q8" s="44">
        <v>36</v>
      </c>
      <c r="R8" s="44"/>
      <c r="S8" s="54">
        <v>46199</v>
      </c>
      <c r="T8" s="87" t="s">
        <v>283</v>
      </c>
      <c r="U8" s="44"/>
      <c r="V8" s="44"/>
      <c r="W8" s="44"/>
      <c r="X8" s="44"/>
      <c r="Y8" s="44"/>
      <c r="Z8" s="44" t="b">
        <v>0</v>
      </c>
      <c r="AA8" s="44"/>
    </row>
    <row r="9" spans="1:27" ht="13">
      <c r="A9" s="25" t="s">
        <v>59</v>
      </c>
      <c r="B9" s="120">
        <v>46205</v>
      </c>
      <c r="C9" s="65" t="s">
        <v>256</v>
      </c>
      <c r="D9" s="37" t="s">
        <v>167</v>
      </c>
      <c r="E9" s="135" t="s">
        <v>294</v>
      </c>
      <c r="F9" s="138" t="s">
        <v>296</v>
      </c>
      <c r="G9" s="37">
        <v>315</v>
      </c>
      <c r="H9" s="138" t="s">
        <v>306</v>
      </c>
      <c r="I9" s="37">
        <v>1857</v>
      </c>
      <c r="J9" s="44" t="b">
        <v>1</v>
      </c>
      <c r="K9" s="44" t="b">
        <v>1</v>
      </c>
      <c r="L9" s="54">
        <v>46205</v>
      </c>
      <c r="M9" s="138" t="s">
        <v>170</v>
      </c>
      <c r="N9" s="57">
        <v>707</v>
      </c>
      <c r="O9" s="44">
        <v>30</v>
      </c>
      <c r="P9" s="44">
        <v>6</v>
      </c>
      <c r="Q9" s="44">
        <v>12</v>
      </c>
      <c r="R9" s="44"/>
      <c r="S9" s="54">
        <v>46205</v>
      </c>
      <c r="T9" s="138" t="s">
        <v>330</v>
      </c>
      <c r="U9" s="44">
        <v>1146</v>
      </c>
      <c r="V9" s="44">
        <v>56</v>
      </c>
      <c r="W9" s="44">
        <v>9</v>
      </c>
      <c r="X9" s="44">
        <v>3</v>
      </c>
      <c r="Y9" s="44"/>
      <c r="Z9" s="44" t="b">
        <v>0</v>
      </c>
      <c r="AA9" s="44"/>
    </row>
    <row r="10" spans="1:27" ht="13">
      <c r="A10" s="141"/>
      <c r="B10" s="141"/>
      <c r="C10" s="141"/>
      <c r="D10" s="141"/>
      <c r="E10" s="141"/>
      <c r="F10" s="142"/>
      <c r="G10" s="141"/>
      <c r="H10" s="142"/>
      <c r="I10" s="141"/>
      <c r="J10" s="142"/>
      <c r="K10" s="142"/>
      <c r="L10" s="143"/>
      <c r="M10" s="142"/>
      <c r="N10" s="143"/>
      <c r="O10" s="142"/>
      <c r="P10" s="142"/>
      <c r="Q10" s="142"/>
      <c r="R10" s="142"/>
      <c r="S10" s="143"/>
      <c r="T10" s="142"/>
      <c r="U10" s="142"/>
      <c r="V10" s="142"/>
      <c r="W10" s="142"/>
      <c r="X10" s="142"/>
      <c r="Y10" s="142"/>
      <c r="Z10" s="142"/>
      <c r="AA10" s="142"/>
    </row>
    <row r="11" spans="1:27" ht="13">
      <c r="A11" s="145" t="s">
        <v>348</v>
      </c>
      <c r="B11" s="30">
        <v>46179</v>
      </c>
      <c r="C11" s="63" t="s">
        <v>357</v>
      </c>
      <c r="D11" s="32" t="s">
        <v>338</v>
      </c>
      <c r="E11" s="34" t="s">
        <v>358</v>
      </c>
      <c r="F11" s="40" t="s">
        <v>359</v>
      </c>
      <c r="G11" s="70">
        <v>16900</v>
      </c>
      <c r="H11" s="40" t="s">
        <v>362</v>
      </c>
      <c r="I11" s="70">
        <v>1321</v>
      </c>
      <c r="J11" s="44" t="b">
        <v>1</v>
      </c>
      <c r="K11" s="44" t="b">
        <v>1</v>
      </c>
      <c r="L11" s="54">
        <v>46188</v>
      </c>
      <c r="M11" s="72" t="s">
        <v>344</v>
      </c>
      <c r="N11" s="57">
        <v>569</v>
      </c>
      <c r="O11" s="57">
        <v>17</v>
      </c>
      <c r="P11" s="57">
        <v>0</v>
      </c>
      <c r="Q11" s="57">
        <v>8</v>
      </c>
      <c r="R11" s="44" t="s">
        <v>371</v>
      </c>
      <c r="S11" s="54">
        <v>46195</v>
      </c>
      <c r="T11" s="44" t="s">
        <v>331</v>
      </c>
      <c r="U11" s="44"/>
      <c r="V11" s="44"/>
      <c r="W11" s="44"/>
      <c r="X11" s="44"/>
      <c r="Y11" s="44"/>
      <c r="Z11" s="44" t="b">
        <v>0</v>
      </c>
      <c r="AA11" s="44"/>
    </row>
    <row r="12" spans="1:27" ht="13">
      <c r="A12" s="145" t="s">
        <v>348</v>
      </c>
      <c r="B12" s="77">
        <v>46187</v>
      </c>
      <c r="C12" s="64">
        <v>0.54166666666666663</v>
      </c>
      <c r="D12" s="67" t="s">
        <v>345</v>
      </c>
      <c r="E12" s="157"/>
      <c r="F12" s="81" t="s">
        <v>379</v>
      </c>
      <c r="G12" s="161">
        <v>2811</v>
      </c>
      <c r="H12" s="81" t="s">
        <v>384</v>
      </c>
      <c r="I12" s="161">
        <v>14000</v>
      </c>
      <c r="J12" s="44" t="b">
        <v>1</v>
      </c>
      <c r="K12" s="44" t="b">
        <v>1</v>
      </c>
      <c r="L12" s="54">
        <v>46195</v>
      </c>
      <c r="M12" s="166" t="s">
        <v>352</v>
      </c>
      <c r="N12" s="175">
        <v>976</v>
      </c>
      <c r="O12" s="175">
        <v>100</v>
      </c>
      <c r="P12" s="177">
        <v>3</v>
      </c>
      <c r="Q12" s="175">
        <v>21</v>
      </c>
      <c r="R12" s="179" t="s">
        <v>462</v>
      </c>
      <c r="S12" s="54">
        <v>46195</v>
      </c>
      <c r="T12" s="182" t="s">
        <v>463</v>
      </c>
      <c r="U12" s="183">
        <v>3997</v>
      </c>
      <c r="V12" s="89">
        <v>151</v>
      </c>
      <c r="W12" s="89">
        <v>4</v>
      </c>
      <c r="X12" s="41"/>
      <c r="Y12" s="179" t="s">
        <v>462</v>
      </c>
      <c r="Z12" s="44" t="b">
        <v>0</v>
      </c>
      <c r="AA12" s="44"/>
    </row>
    <row r="13" spans="1:27" ht="13">
      <c r="A13" s="145" t="s">
        <v>348</v>
      </c>
      <c r="B13" s="30">
        <v>46201</v>
      </c>
      <c r="C13" s="74">
        <v>0.70833333333333337</v>
      </c>
      <c r="D13" s="189" t="s">
        <v>480</v>
      </c>
      <c r="E13" s="192" t="s">
        <v>488</v>
      </c>
      <c r="F13" s="40" t="s">
        <v>496</v>
      </c>
      <c r="G13" s="34">
        <v>73600</v>
      </c>
      <c r="H13" s="200" t="s">
        <v>510</v>
      </c>
      <c r="I13" s="201">
        <v>72000</v>
      </c>
      <c r="J13" s="44" t="b">
        <v>1</v>
      </c>
      <c r="K13" s="44" t="b">
        <v>1</v>
      </c>
      <c r="L13" s="54">
        <v>46204</v>
      </c>
      <c r="M13" s="204" t="s">
        <v>531</v>
      </c>
      <c r="N13" s="205">
        <v>5259</v>
      </c>
      <c r="O13" s="205">
        <v>373</v>
      </c>
      <c r="P13" s="205">
        <v>13</v>
      </c>
      <c r="Q13" s="205">
        <v>16</v>
      </c>
      <c r="R13" s="36" t="s">
        <v>536</v>
      </c>
      <c r="S13" s="54">
        <v>46204</v>
      </c>
      <c r="T13" s="206"/>
      <c r="U13" s="41"/>
      <c r="V13" s="89"/>
      <c r="W13" s="89"/>
      <c r="X13" s="41"/>
      <c r="Y13" s="179"/>
      <c r="Z13" s="44" t="b">
        <v>0</v>
      </c>
      <c r="AA13" s="44"/>
    </row>
    <row r="14" spans="1:27" ht="13">
      <c r="A14" s="141"/>
      <c r="B14" s="141"/>
      <c r="C14" s="141"/>
      <c r="D14" s="141"/>
      <c r="E14" s="141"/>
      <c r="F14" s="142"/>
      <c r="G14" s="141"/>
      <c r="H14" s="142"/>
      <c r="I14" s="141"/>
      <c r="J14" s="142"/>
      <c r="K14" s="142"/>
      <c r="L14" s="143"/>
      <c r="M14" s="142"/>
      <c r="N14" s="143"/>
      <c r="O14" s="142"/>
      <c r="P14" s="142"/>
      <c r="Q14" s="142"/>
      <c r="R14" s="142"/>
      <c r="S14" s="143"/>
      <c r="T14" s="142"/>
      <c r="U14" s="142"/>
      <c r="V14" s="142"/>
      <c r="W14" s="142"/>
      <c r="X14" s="142"/>
      <c r="Y14" s="142"/>
      <c r="Z14" s="142"/>
      <c r="AA14" s="142"/>
    </row>
    <row r="15" spans="1:27" ht="14">
      <c r="A15" s="168" t="s">
        <v>417</v>
      </c>
      <c r="B15" s="91">
        <v>46183</v>
      </c>
      <c r="C15" s="93">
        <v>0.54166666666666663</v>
      </c>
      <c r="D15" s="94" t="s">
        <v>544</v>
      </c>
      <c r="E15" s="96"/>
      <c r="F15" s="99" t="s">
        <v>545</v>
      </c>
      <c r="G15" s="211">
        <v>10700</v>
      </c>
      <c r="H15" s="99" t="s">
        <v>553</v>
      </c>
      <c r="I15" s="211">
        <v>10000</v>
      </c>
      <c r="J15" s="44" t="b">
        <v>1</v>
      </c>
      <c r="K15" s="44" t="b">
        <v>1</v>
      </c>
      <c r="L15" s="57"/>
      <c r="M15" s="44"/>
      <c r="N15" s="57"/>
      <c r="O15" s="44"/>
      <c r="P15" s="44"/>
      <c r="Q15" s="44"/>
      <c r="R15" s="44"/>
      <c r="S15" s="54">
        <v>46188</v>
      </c>
      <c r="T15" s="72" t="s">
        <v>72</v>
      </c>
      <c r="U15" s="57">
        <v>3089</v>
      </c>
      <c r="V15" s="44" t="s">
        <v>208</v>
      </c>
      <c r="W15" s="57">
        <v>20</v>
      </c>
      <c r="X15" s="44" t="s">
        <v>208</v>
      </c>
      <c r="Y15" s="112" t="s">
        <v>559</v>
      </c>
      <c r="Z15" s="113" t="s">
        <v>174</v>
      </c>
      <c r="AA15" s="113" t="s">
        <v>253</v>
      </c>
    </row>
    <row r="16" spans="1:27" ht="13">
      <c r="A16" s="168" t="s">
        <v>417</v>
      </c>
      <c r="B16" s="30">
        <v>46186</v>
      </c>
      <c r="C16" s="32" t="s">
        <v>560</v>
      </c>
      <c r="D16" s="32" t="s">
        <v>80</v>
      </c>
      <c r="E16" s="34" t="s">
        <v>562</v>
      </c>
      <c r="F16" s="106"/>
      <c r="G16" s="34"/>
      <c r="H16" s="59" t="s">
        <v>567</v>
      </c>
      <c r="I16" s="34">
        <v>1595</v>
      </c>
      <c r="J16" s="44" t="b">
        <v>1</v>
      </c>
      <c r="K16" s="44" t="b">
        <v>1</v>
      </c>
      <c r="L16" s="57"/>
      <c r="M16" s="44"/>
      <c r="N16" s="57"/>
      <c r="O16" s="44"/>
      <c r="P16" s="44"/>
      <c r="Q16" s="44"/>
      <c r="R16" s="44"/>
      <c r="S16" s="54">
        <v>46191</v>
      </c>
      <c r="T16" s="72" t="s">
        <v>83</v>
      </c>
      <c r="U16" s="57">
        <v>227</v>
      </c>
      <c r="V16" s="57">
        <v>8</v>
      </c>
      <c r="W16" s="57">
        <v>0</v>
      </c>
      <c r="X16" s="44" t="s">
        <v>208</v>
      </c>
      <c r="Y16" s="44" t="s">
        <v>587</v>
      </c>
      <c r="Z16" s="44" t="b">
        <v>0</v>
      </c>
      <c r="AA16" s="44"/>
    </row>
    <row r="17" spans="1:27" ht="13">
      <c r="A17" s="168" t="s">
        <v>417</v>
      </c>
      <c r="B17" s="218">
        <v>46190</v>
      </c>
      <c r="C17" s="220">
        <v>0.58333333333333337</v>
      </c>
      <c r="D17" s="221" t="s">
        <v>589</v>
      </c>
      <c r="E17" s="34"/>
      <c r="F17" s="222"/>
      <c r="G17" s="223"/>
      <c r="H17" s="225" t="s">
        <v>590</v>
      </c>
      <c r="I17" s="227">
        <v>30800</v>
      </c>
      <c r="J17" s="44" t="b">
        <v>1</v>
      </c>
      <c r="K17" s="44" t="b">
        <v>1</v>
      </c>
      <c r="L17" s="57"/>
      <c r="M17" s="44"/>
      <c r="N17" s="57"/>
      <c r="O17" s="44"/>
      <c r="P17" s="44"/>
      <c r="Q17" s="44"/>
      <c r="R17" s="44"/>
      <c r="S17" s="54">
        <v>46200</v>
      </c>
      <c r="T17" s="87" t="s">
        <v>91</v>
      </c>
      <c r="U17" s="44"/>
      <c r="V17" s="44">
        <v>40</v>
      </c>
      <c r="W17" s="44">
        <v>3</v>
      </c>
      <c r="X17" s="44"/>
      <c r="Y17" s="44"/>
      <c r="Z17" s="44" t="b">
        <v>0</v>
      </c>
      <c r="AA17" s="44"/>
    </row>
    <row r="18" spans="1:27" ht="13">
      <c r="A18" s="141"/>
      <c r="B18" s="141"/>
      <c r="C18" s="141"/>
      <c r="D18" s="141"/>
      <c r="E18" s="141"/>
      <c r="F18" s="142"/>
      <c r="G18" s="141"/>
      <c r="H18" s="142"/>
      <c r="I18" s="141"/>
      <c r="J18" s="142"/>
      <c r="K18" s="142"/>
      <c r="L18" s="143"/>
      <c r="M18" s="142"/>
      <c r="N18" s="143"/>
      <c r="O18" s="142"/>
      <c r="P18" s="142"/>
      <c r="Q18" s="142"/>
      <c r="R18" s="142"/>
      <c r="S18" s="143"/>
      <c r="T18" s="142"/>
      <c r="U18" s="142"/>
      <c r="V18" s="142"/>
      <c r="W18" s="142"/>
      <c r="X18" s="142"/>
      <c r="Y18" s="142"/>
      <c r="Z18" s="142"/>
      <c r="AA18" s="142"/>
    </row>
    <row r="19" spans="1:27" ht="13">
      <c r="A19" s="186" t="s">
        <v>483</v>
      </c>
      <c r="B19" s="30">
        <v>46180</v>
      </c>
      <c r="C19" s="63" t="s">
        <v>598</v>
      </c>
      <c r="D19" s="32" t="s">
        <v>561</v>
      </c>
      <c r="E19" s="41" t="s">
        <v>600</v>
      </c>
      <c r="F19" s="202" t="s">
        <v>601</v>
      </c>
      <c r="G19" s="233">
        <v>1260</v>
      </c>
      <c r="H19" s="236" t="s">
        <v>602</v>
      </c>
      <c r="I19" s="238">
        <v>2470</v>
      </c>
      <c r="J19" s="44" t="b">
        <v>1</v>
      </c>
      <c r="K19" s="44" t="b">
        <v>1</v>
      </c>
      <c r="L19" s="54">
        <v>46177</v>
      </c>
      <c r="M19" s="243" t="s">
        <v>566</v>
      </c>
      <c r="N19" s="194">
        <v>386</v>
      </c>
      <c r="O19" s="194">
        <v>42</v>
      </c>
      <c r="P19" s="194">
        <v>1</v>
      </c>
      <c r="Q19" s="194">
        <v>0</v>
      </c>
      <c r="R19" s="106" t="s">
        <v>610</v>
      </c>
      <c r="S19" s="54">
        <v>46177</v>
      </c>
      <c r="T19" s="243" t="s">
        <v>613</v>
      </c>
      <c r="U19" s="90">
        <v>1350</v>
      </c>
      <c r="V19" s="90">
        <v>0</v>
      </c>
      <c r="W19" s="90">
        <v>0</v>
      </c>
      <c r="X19" s="41"/>
      <c r="Y19" s="41" t="s">
        <v>616</v>
      </c>
      <c r="Z19" s="44" t="b">
        <v>0</v>
      </c>
      <c r="AA19" s="44"/>
    </row>
    <row r="20" spans="1:27" ht="13">
      <c r="A20" s="186" t="s">
        <v>483</v>
      </c>
      <c r="B20" s="30">
        <v>46181</v>
      </c>
      <c r="C20" s="63" t="s">
        <v>598</v>
      </c>
      <c r="D20" s="32" t="s">
        <v>569</v>
      </c>
      <c r="E20" s="34" t="s">
        <v>617</v>
      </c>
      <c r="F20" s="40"/>
      <c r="G20" s="34"/>
      <c r="H20" s="40" t="s">
        <v>619</v>
      </c>
      <c r="I20" s="34">
        <v>2612</v>
      </c>
      <c r="J20" s="44" t="b">
        <v>1</v>
      </c>
      <c r="K20" s="44" t="b">
        <v>1</v>
      </c>
      <c r="L20" s="54">
        <v>46184</v>
      </c>
      <c r="M20" s="40" t="s">
        <v>574</v>
      </c>
      <c r="N20" s="194">
        <v>396</v>
      </c>
      <c r="O20" s="106"/>
      <c r="P20" s="106"/>
      <c r="Q20" s="106"/>
      <c r="R20" s="106" t="s">
        <v>625</v>
      </c>
      <c r="S20" s="54">
        <v>46184</v>
      </c>
      <c r="T20" s="200" t="s">
        <v>627</v>
      </c>
      <c r="U20" s="194">
        <v>65000</v>
      </c>
      <c r="V20" s="194">
        <v>67</v>
      </c>
      <c r="W20" s="194">
        <v>6</v>
      </c>
      <c r="X20" s="194">
        <v>4</v>
      </c>
      <c r="Y20" s="253" t="s">
        <v>630</v>
      </c>
      <c r="Z20" s="44" t="b">
        <v>0</v>
      </c>
      <c r="AA20" s="44"/>
    </row>
    <row r="21" spans="1:27" ht="14">
      <c r="A21" s="186" t="s">
        <v>483</v>
      </c>
      <c r="B21" s="77">
        <v>46181</v>
      </c>
      <c r="C21" s="64">
        <v>0.625</v>
      </c>
      <c r="D21" s="255" t="s">
        <v>576</v>
      </c>
      <c r="E21" s="256"/>
      <c r="F21" s="259" t="s">
        <v>631</v>
      </c>
      <c r="G21" s="261">
        <v>1174</v>
      </c>
      <c r="H21" s="259" t="s">
        <v>639</v>
      </c>
      <c r="I21" s="261">
        <v>10000</v>
      </c>
      <c r="J21" s="185" t="b">
        <v>1</v>
      </c>
      <c r="K21" s="185" t="b">
        <v>1</v>
      </c>
      <c r="L21" s="191"/>
      <c r="M21" s="185"/>
      <c r="N21" s="195"/>
      <c r="O21" s="185"/>
      <c r="P21" s="196"/>
      <c r="Q21" s="266"/>
      <c r="R21" s="266"/>
      <c r="S21" s="54">
        <v>46184</v>
      </c>
      <c r="T21" s="272" t="s">
        <v>578</v>
      </c>
      <c r="U21" s="90">
        <v>2987</v>
      </c>
      <c r="V21" s="90">
        <v>0</v>
      </c>
      <c r="W21" s="90">
        <v>3</v>
      </c>
      <c r="X21" s="41"/>
      <c r="Y21" s="112" t="s">
        <v>651</v>
      </c>
      <c r="Z21" s="113" t="s">
        <v>653</v>
      </c>
      <c r="AA21" s="113" t="s">
        <v>654</v>
      </c>
    </row>
    <row r="22" spans="1:27" ht="13">
      <c r="A22" s="186" t="s">
        <v>483</v>
      </c>
      <c r="B22" s="91">
        <v>46181</v>
      </c>
      <c r="C22" s="93">
        <v>0.66666666666666663</v>
      </c>
      <c r="D22" s="94" t="s">
        <v>579</v>
      </c>
      <c r="E22" s="274"/>
      <c r="F22" s="277" t="s">
        <v>656</v>
      </c>
      <c r="G22" s="100">
        <v>1673</v>
      </c>
      <c r="H22" s="280" t="s">
        <v>658</v>
      </c>
      <c r="I22" s="281" t="s">
        <v>580</v>
      </c>
      <c r="J22" s="282" t="b">
        <v>1</v>
      </c>
      <c r="K22" s="282" t="b">
        <v>1</v>
      </c>
      <c r="L22" s="54">
        <v>46190</v>
      </c>
      <c r="M22" s="283" t="s">
        <v>583</v>
      </c>
      <c r="N22" s="284" t="s">
        <v>331</v>
      </c>
      <c r="O22" s="285"/>
      <c r="P22" s="286"/>
      <c r="Q22" s="282"/>
      <c r="R22" s="282"/>
      <c r="S22" s="54">
        <v>46191</v>
      </c>
      <c r="T22" s="287" t="s">
        <v>663</v>
      </c>
      <c r="U22" s="106"/>
      <c r="V22" s="106"/>
      <c r="W22" s="106"/>
      <c r="X22" s="106"/>
      <c r="Y22" s="106" t="s">
        <v>210</v>
      </c>
      <c r="Z22" s="44" t="b">
        <v>0</v>
      </c>
      <c r="AA22" s="44"/>
    </row>
    <row r="23" spans="1:27" ht="13">
      <c r="A23" s="141"/>
      <c r="B23" s="141"/>
      <c r="C23" s="141"/>
      <c r="D23" s="141"/>
      <c r="E23" s="141"/>
      <c r="F23" s="142"/>
      <c r="G23" s="141"/>
      <c r="H23" s="142"/>
      <c r="I23" s="141"/>
      <c r="J23" s="142"/>
      <c r="K23" s="142"/>
      <c r="L23" s="143"/>
      <c r="M23" s="142"/>
      <c r="N23" s="143"/>
      <c r="O23" s="142"/>
      <c r="P23" s="142"/>
      <c r="Q23" s="142"/>
      <c r="R23" s="142"/>
      <c r="S23" s="143"/>
      <c r="T23" s="142"/>
      <c r="U23" s="142"/>
      <c r="V23" s="142"/>
      <c r="W23" s="142"/>
      <c r="X23" s="142"/>
      <c r="Y23" s="142"/>
      <c r="Z23" s="142"/>
      <c r="AA23" s="142"/>
    </row>
    <row r="24" spans="1:27" ht="13">
      <c r="A24" s="39" t="s">
        <v>541</v>
      </c>
      <c r="B24" s="30">
        <v>46178</v>
      </c>
      <c r="C24" s="63" t="s">
        <v>598</v>
      </c>
      <c r="D24" s="32" t="s">
        <v>489</v>
      </c>
      <c r="E24" s="34" t="s">
        <v>666</v>
      </c>
      <c r="F24" s="40" t="s">
        <v>667</v>
      </c>
      <c r="G24" s="43">
        <v>1131</v>
      </c>
      <c r="H24" s="40" t="s">
        <v>669</v>
      </c>
      <c r="I24" s="43">
        <v>1043</v>
      </c>
      <c r="J24" s="44" t="b">
        <v>1</v>
      </c>
      <c r="K24" s="44" t="b">
        <v>1</v>
      </c>
      <c r="L24" s="54">
        <v>46191</v>
      </c>
      <c r="M24" s="200" t="s">
        <v>495</v>
      </c>
      <c r="N24" s="194">
        <v>1354</v>
      </c>
      <c r="O24" s="194">
        <v>49</v>
      </c>
      <c r="P24" s="194">
        <v>4</v>
      </c>
      <c r="Q24" s="194">
        <v>27</v>
      </c>
      <c r="R24" s="106" t="s">
        <v>671</v>
      </c>
      <c r="S24" s="54">
        <v>46180</v>
      </c>
      <c r="T24" s="200" t="s">
        <v>672</v>
      </c>
      <c r="U24" s="194">
        <v>13400</v>
      </c>
      <c r="V24" s="194">
        <v>311</v>
      </c>
      <c r="W24" s="194">
        <v>11</v>
      </c>
      <c r="X24" s="194">
        <v>136</v>
      </c>
      <c r="Y24" s="106"/>
      <c r="Z24" s="44" t="b">
        <v>0</v>
      </c>
      <c r="AA24" s="44"/>
    </row>
    <row r="25" spans="1:27" ht="13">
      <c r="A25" s="39" t="s">
        <v>541</v>
      </c>
      <c r="B25" s="30">
        <v>46178</v>
      </c>
      <c r="C25" s="63" t="s">
        <v>598</v>
      </c>
      <c r="D25" s="32" t="s">
        <v>498</v>
      </c>
      <c r="E25" s="39" t="s">
        <v>674</v>
      </c>
      <c r="F25" s="69" t="s">
        <v>675</v>
      </c>
      <c r="G25" s="70">
        <v>7062</v>
      </c>
      <c r="H25" s="69" t="s">
        <v>676</v>
      </c>
      <c r="I25" s="70">
        <v>8771</v>
      </c>
      <c r="J25" s="44" t="b">
        <v>1</v>
      </c>
      <c r="K25" s="44" t="b">
        <v>1</v>
      </c>
      <c r="L25" s="54">
        <v>46179</v>
      </c>
      <c r="M25" s="291" t="s">
        <v>501</v>
      </c>
      <c r="N25" s="90">
        <v>1357</v>
      </c>
      <c r="O25" s="90">
        <v>45</v>
      </c>
      <c r="P25" s="90">
        <v>2</v>
      </c>
      <c r="Q25" s="90">
        <v>16</v>
      </c>
      <c r="R25" s="41" t="s">
        <v>678</v>
      </c>
      <c r="S25" s="54">
        <v>46187</v>
      </c>
      <c r="T25" s="41" t="s">
        <v>331</v>
      </c>
      <c r="U25" s="41"/>
      <c r="V25" s="41"/>
      <c r="W25" s="41"/>
      <c r="X25" s="41"/>
      <c r="Y25" s="41"/>
      <c r="Z25" s="44" t="b">
        <v>0</v>
      </c>
      <c r="AA25" s="44"/>
    </row>
    <row r="26" spans="1:27" ht="13">
      <c r="A26" s="39" t="s">
        <v>541</v>
      </c>
      <c r="B26" s="77">
        <v>46181</v>
      </c>
      <c r="C26" s="64">
        <v>0.58333333333333337</v>
      </c>
      <c r="D26" s="67" t="s">
        <v>502</v>
      </c>
      <c r="E26" s="79"/>
      <c r="F26" s="81" t="s">
        <v>679</v>
      </c>
      <c r="G26" s="82">
        <v>6500</v>
      </c>
      <c r="H26" s="296" t="s">
        <v>680</v>
      </c>
      <c r="I26" s="297" t="s">
        <v>681</v>
      </c>
      <c r="J26" s="44" t="b">
        <v>1</v>
      </c>
      <c r="K26" s="44" t="b">
        <v>1</v>
      </c>
      <c r="L26" s="54">
        <v>46187</v>
      </c>
      <c r="M26" s="200" t="s">
        <v>506</v>
      </c>
      <c r="N26" s="194">
        <v>1597</v>
      </c>
      <c r="O26" s="194">
        <v>131</v>
      </c>
      <c r="P26" s="194">
        <v>8</v>
      </c>
      <c r="Q26" s="194">
        <v>27</v>
      </c>
      <c r="R26" s="106"/>
      <c r="S26" s="54">
        <v>46187</v>
      </c>
      <c r="T26" s="200" t="s">
        <v>684</v>
      </c>
      <c r="U26" s="194">
        <v>8547</v>
      </c>
      <c r="V26" s="194">
        <v>169</v>
      </c>
      <c r="W26" s="194">
        <v>6</v>
      </c>
      <c r="X26" s="194">
        <v>3</v>
      </c>
      <c r="Y26" s="106" t="s">
        <v>653</v>
      </c>
      <c r="Z26" s="44" t="b">
        <v>0</v>
      </c>
      <c r="AA26" s="44"/>
    </row>
    <row r="27" spans="1:27" ht="13">
      <c r="A27" s="39" t="s">
        <v>541</v>
      </c>
      <c r="B27" s="30">
        <v>46182</v>
      </c>
      <c r="C27" s="32" t="s">
        <v>685</v>
      </c>
      <c r="D27" s="32" t="s">
        <v>507</v>
      </c>
      <c r="E27" s="39" t="s">
        <v>686</v>
      </c>
      <c r="F27" s="69" t="s">
        <v>687</v>
      </c>
      <c r="G27" s="70">
        <v>539</v>
      </c>
      <c r="H27" s="300" t="s">
        <v>688</v>
      </c>
      <c r="I27" s="70">
        <v>11000</v>
      </c>
      <c r="J27" s="44" t="b">
        <v>1</v>
      </c>
      <c r="K27" s="44" t="b">
        <v>1</v>
      </c>
      <c r="L27" s="54">
        <v>46184</v>
      </c>
      <c r="M27" s="291" t="s">
        <v>516</v>
      </c>
      <c r="N27" s="90">
        <v>490</v>
      </c>
      <c r="O27" s="90">
        <v>11</v>
      </c>
      <c r="P27" s="90">
        <v>2</v>
      </c>
      <c r="Q27" s="90">
        <v>6</v>
      </c>
      <c r="R27" s="41" t="s">
        <v>692</v>
      </c>
      <c r="S27" s="54">
        <v>46184</v>
      </c>
      <c r="T27" s="291" t="s">
        <v>693</v>
      </c>
      <c r="U27" s="90">
        <v>3364</v>
      </c>
      <c r="V27" s="41" t="s">
        <v>208</v>
      </c>
      <c r="W27" s="90">
        <v>33</v>
      </c>
      <c r="X27" s="90">
        <v>0</v>
      </c>
      <c r="Y27" s="41"/>
      <c r="Z27" s="44" t="b">
        <v>0</v>
      </c>
      <c r="AA27" s="44"/>
    </row>
    <row r="28" spans="1:27" ht="13">
      <c r="A28" s="39" t="s">
        <v>541</v>
      </c>
      <c r="B28" s="91">
        <v>46185</v>
      </c>
      <c r="C28" s="302" t="s">
        <v>694</v>
      </c>
      <c r="D28" s="239" t="s">
        <v>695</v>
      </c>
      <c r="E28" s="274"/>
      <c r="F28" s="282"/>
      <c r="G28" s="303"/>
      <c r="H28" s="304" t="s">
        <v>696</v>
      </c>
      <c r="I28" s="305" t="s">
        <v>698</v>
      </c>
      <c r="J28" s="44" t="b">
        <v>1</v>
      </c>
      <c r="K28" s="44" t="b">
        <v>1</v>
      </c>
      <c r="L28" s="194"/>
      <c r="M28" s="106"/>
      <c r="N28" s="194"/>
      <c r="O28" s="106"/>
      <c r="P28" s="106"/>
      <c r="Q28" s="106"/>
      <c r="R28" s="106"/>
      <c r="S28" s="54">
        <v>46190</v>
      </c>
      <c r="T28" s="200" t="s">
        <v>523</v>
      </c>
      <c r="U28" s="194">
        <v>52000</v>
      </c>
      <c r="V28" s="194">
        <v>523</v>
      </c>
      <c r="W28" s="194">
        <v>29</v>
      </c>
      <c r="X28" s="194">
        <v>13</v>
      </c>
      <c r="Y28" s="113" t="s">
        <v>701</v>
      </c>
      <c r="Z28" s="113" t="s">
        <v>702</v>
      </c>
      <c r="AA28" s="113" t="s">
        <v>654</v>
      </c>
    </row>
    <row r="29" spans="1:27" ht="18.75" customHeight="1">
      <c r="A29" s="39" t="s">
        <v>541</v>
      </c>
      <c r="B29" s="30">
        <v>46188</v>
      </c>
      <c r="C29" s="63" t="s">
        <v>703</v>
      </c>
      <c r="D29" s="135" t="s">
        <v>524</v>
      </c>
      <c r="E29" s="39" t="s">
        <v>705</v>
      </c>
      <c r="F29" s="202" t="s">
        <v>706</v>
      </c>
      <c r="G29" s="308">
        <v>1101</v>
      </c>
      <c r="H29" s="202" t="s">
        <v>711</v>
      </c>
      <c r="I29" s="39">
        <v>794</v>
      </c>
      <c r="J29" s="44" t="b">
        <v>1</v>
      </c>
      <c r="K29" s="44" t="b">
        <v>1</v>
      </c>
      <c r="L29" s="54">
        <v>46191</v>
      </c>
      <c r="M29" s="314" t="s">
        <v>528</v>
      </c>
      <c r="N29" s="90">
        <v>1119</v>
      </c>
      <c r="O29" s="90">
        <v>104</v>
      </c>
      <c r="P29" s="90">
        <v>39</v>
      </c>
      <c r="Q29" s="90">
        <v>5</v>
      </c>
      <c r="R29" s="41" t="s">
        <v>717</v>
      </c>
      <c r="S29" s="54">
        <v>46191</v>
      </c>
      <c r="T29" s="318" t="s">
        <v>718</v>
      </c>
      <c r="U29" s="319">
        <v>1179</v>
      </c>
      <c r="V29" s="41"/>
      <c r="W29" s="41">
        <v>10</v>
      </c>
      <c r="X29" s="41"/>
      <c r="Y29" s="320"/>
      <c r="Z29" s="44" t="b">
        <v>0</v>
      </c>
      <c r="AA29" s="44"/>
    </row>
    <row r="30" spans="1:27" ht="13">
      <c r="A30" s="39" t="s">
        <v>541</v>
      </c>
      <c r="B30" s="30">
        <v>46192</v>
      </c>
      <c r="C30" s="63" t="s">
        <v>723</v>
      </c>
      <c r="D30" s="32" t="s">
        <v>529</v>
      </c>
      <c r="E30" s="34" t="s">
        <v>724</v>
      </c>
      <c r="F30" s="40" t="s">
        <v>725</v>
      </c>
      <c r="G30" s="43">
        <v>6698</v>
      </c>
      <c r="H30" s="40" t="s">
        <v>730</v>
      </c>
      <c r="I30" s="322">
        <v>150000</v>
      </c>
      <c r="J30" s="44" t="b">
        <v>1</v>
      </c>
      <c r="K30" s="44" t="b">
        <v>1</v>
      </c>
      <c r="L30" s="54">
        <v>46199</v>
      </c>
      <c r="M30" s="87" t="s">
        <v>532</v>
      </c>
      <c r="N30" s="57">
        <v>1754</v>
      </c>
      <c r="O30" s="44">
        <v>74</v>
      </c>
      <c r="P30" s="44">
        <v>3</v>
      </c>
      <c r="Q30" s="44">
        <v>19</v>
      </c>
      <c r="R30" s="44"/>
      <c r="S30" s="54">
        <v>46199</v>
      </c>
      <c r="T30" s="87" t="s">
        <v>731</v>
      </c>
      <c r="U30" s="44">
        <v>36000</v>
      </c>
      <c r="V30" s="44">
        <v>1239</v>
      </c>
      <c r="W30" s="44">
        <v>16</v>
      </c>
      <c r="X30" s="44"/>
      <c r="Y30" s="44"/>
      <c r="Z30" s="44" t="b">
        <v>0</v>
      </c>
      <c r="AA30" s="44"/>
    </row>
    <row r="31" spans="1:27" ht="13">
      <c r="A31" s="39" t="s">
        <v>541</v>
      </c>
      <c r="B31" s="30">
        <v>46200</v>
      </c>
      <c r="C31" s="63" t="s">
        <v>734</v>
      </c>
      <c r="D31" s="32" t="s">
        <v>538</v>
      </c>
      <c r="E31" s="39" t="s">
        <v>735</v>
      </c>
      <c r="F31" s="41"/>
      <c r="G31" s="34"/>
      <c r="H31" s="69" t="s">
        <v>736</v>
      </c>
      <c r="I31" s="70">
        <v>1722</v>
      </c>
      <c r="J31" s="44" t="b">
        <v>1</v>
      </c>
      <c r="K31" s="44" t="b">
        <v>1</v>
      </c>
      <c r="L31" s="54">
        <v>46204</v>
      </c>
      <c r="M31" s="204" t="s">
        <v>540</v>
      </c>
      <c r="N31" s="205">
        <v>234</v>
      </c>
      <c r="O31" s="205">
        <v>11</v>
      </c>
      <c r="P31" s="205">
        <v>1</v>
      </c>
      <c r="Q31" s="205">
        <v>3</v>
      </c>
      <c r="R31" s="36" t="s">
        <v>743</v>
      </c>
      <c r="S31" s="57"/>
      <c r="T31" s="44"/>
      <c r="U31" s="44"/>
      <c r="V31" s="44"/>
      <c r="W31" s="44"/>
      <c r="X31" s="44"/>
      <c r="Y31" s="44"/>
      <c r="Z31" s="44" t="b">
        <v>0</v>
      </c>
      <c r="AA31" s="44"/>
    </row>
    <row r="32" spans="1:27" ht="13">
      <c r="A32" s="141"/>
      <c r="B32" s="141"/>
      <c r="C32" s="141"/>
      <c r="D32" s="141"/>
      <c r="E32" s="141"/>
      <c r="F32" s="142"/>
      <c r="G32" s="141"/>
      <c r="H32" s="142"/>
      <c r="I32" s="141"/>
      <c r="J32" s="142"/>
      <c r="K32" s="142"/>
      <c r="L32" s="143"/>
      <c r="M32" s="142"/>
      <c r="N32" s="143"/>
      <c r="O32" s="142"/>
      <c r="P32" s="142"/>
      <c r="Q32" s="142"/>
      <c r="R32" s="142"/>
      <c r="S32" s="143"/>
      <c r="T32" s="142"/>
      <c r="U32" s="142"/>
      <c r="V32" s="142"/>
      <c r="W32" s="142"/>
      <c r="X32" s="142"/>
      <c r="Y32" s="142"/>
      <c r="Z32" s="142"/>
      <c r="AA32" s="142"/>
    </row>
  </sheetData>
  <phoneticPr fontId="251" type="noConversion"/>
  <hyperlinks>
    <hyperlink ref="F2" r:id="rId1" xr:uid="{00000000-0004-0000-0200-000000000000}"/>
    <hyperlink ref="H2" r:id="rId2" xr:uid="{00000000-0004-0000-0200-000001000000}"/>
    <hyperlink ref="M2" r:id="rId3" xr:uid="{00000000-0004-0000-0200-000002000000}"/>
    <hyperlink ref="T2" r:id="rId4" xr:uid="{00000000-0004-0000-0200-000003000000}"/>
    <hyperlink ref="F3" r:id="rId5" xr:uid="{00000000-0004-0000-0200-000004000000}"/>
    <hyperlink ref="H3" r:id="rId6" xr:uid="{00000000-0004-0000-0200-000005000000}"/>
    <hyperlink ref="T3" r:id="rId7" xr:uid="{00000000-0004-0000-0200-000006000000}"/>
    <hyperlink ref="F4" r:id="rId8" xr:uid="{00000000-0004-0000-0200-000007000000}"/>
    <hyperlink ref="H4" r:id="rId9" xr:uid="{00000000-0004-0000-0200-000008000000}"/>
    <hyperlink ref="M4" r:id="rId10" xr:uid="{00000000-0004-0000-0200-000009000000}"/>
    <hyperlink ref="T4" r:id="rId11" xr:uid="{00000000-0004-0000-0200-00000A000000}"/>
    <hyperlink ref="F5" r:id="rId12" xr:uid="{00000000-0004-0000-0200-00000B000000}"/>
    <hyperlink ref="H5" r:id="rId13" xr:uid="{00000000-0004-0000-0200-00000C000000}"/>
    <hyperlink ref="M5" r:id="rId14" xr:uid="{00000000-0004-0000-0200-00000D000000}"/>
    <hyperlink ref="T5" r:id="rId15" xr:uid="{00000000-0004-0000-0200-00000E000000}"/>
    <hyperlink ref="F6" r:id="rId16" xr:uid="{00000000-0004-0000-0200-00000F000000}"/>
    <hyperlink ref="H6" r:id="rId17" xr:uid="{00000000-0004-0000-0200-000010000000}"/>
    <hyperlink ref="M6" r:id="rId18" xr:uid="{00000000-0004-0000-0200-000011000000}"/>
    <hyperlink ref="T6" r:id="rId19" xr:uid="{00000000-0004-0000-0200-000012000000}"/>
    <hyperlink ref="F7" r:id="rId20" xr:uid="{00000000-0004-0000-0200-000013000000}"/>
    <hyperlink ref="H7" r:id="rId21" xr:uid="{00000000-0004-0000-0200-000014000000}"/>
    <hyperlink ref="M7" r:id="rId22" xr:uid="{00000000-0004-0000-0200-000015000000}"/>
    <hyperlink ref="T7" r:id="rId23" xr:uid="{00000000-0004-0000-0200-000016000000}"/>
    <hyperlink ref="F8" r:id="rId24" xr:uid="{00000000-0004-0000-0200-000017000000}"/>
    <hyperlink ref="H8" r:id="rId25" xr:uid="{00000000-0004-0000-0200-000018000000}"/>
    <hyperlink ref="M8" r:id="rId26" xr:uid="{00000000-0004-0000-0200-000019000000}"/>
    <hyperlink ref="T8" r:id="rId27" xr:uid="{00000000-0004-0000-0200-00001A000000}"/>
    <hyperlink ref="F9" r:id="rId28" xr:uid="{00000000-0004-0000-0200-00001B000000}"/>
    <hyperlink ref="H9" r:id="rId29" xr:uid="{00000000-0004-0000-0200-00001C000000}"/>
    <hyperlink ref="M9" r:id="rId30" xr:uid="{00000000-0004-0000-0200-00001D000000}"/>
    <hyperlink ref="T9" r:id="rId31" xr:uid="{00000000-0004-0000-0200-00001E000000}"/>
    <hyperlink ref="F11" r:id="rId32" xr:uid="{00000000-0004-0000-0200-00001F000000}"/>
    <hyperlink ref="H11" r:id="rId33" xr:uid="{00000000-0004-0000-0200-000020000000}"/>
    <hyperlink ref="M11" r:id="rId34" xr:uid="{00000000-0004-0000-0200-000021000000}"/>
    <hyperlink ref="F12" r:id="rId35" xr:uid="{00000000-0004-0000-0200-000022000000}"/>
    <hyperlink ref="H12" r:id="rId36" xr:uid="{00000000-0004-0000-0200-000023000000}"/>
    <hyperlink ref="M12" r:id="rId37" xr:uid="{00000000-0004-0000-0200-000024000000}"/>
    <hyperlink ref="T12" r:id="rId38" xr:uid="{00000000-0004-0000-0200-000025000000}"/>
    <hyperlink ref="D13" r:id="rId39" xr:uid="{00000000-0004-0000-0200-000026000000}"/>
    <hyperlink ref="E13" r:id="rId40" xr:uid="{00000000-0004-0000-0200-000027000000}"/>
    <hyperlink ref="F13" r:id="rId41" xr:uid="{00000000-0004-0000-0200-000028000000}"/>
    <hyperlink ref="H13" r:id="rId42" xr:uid="{00000000-0004-0000-0200-000029000000}"/>
    <hyperlink ref="M13" r:id="rId43" xr:uid="{00000000-0004-0000-0200-00002A000000}"/>
    <hyperlink ref="F15" r:id="rId44" xr:uid="{00000000-0004-0000-0200-00002B000000}"/>
    <hyperlink ref="H15" r:id="rId45" xr:uid="{00000000-0004-0000-0200-00002C000000}"/>
    <hyperlink ref="T15" r:id="rId46" xr:uid="{00000000-0004-0000-0200-00002D000000}"/>
    <hyperlink ref="H16" r:id="rId47" xr:uid="{00000000-0004-0000-0200-00002E000000}"/>
    <hyperlink ref="T16" r:id="rId48" xr:uid="{00000000-0004-0000-0200-00002F000000}"/>
    <hyperlink ref="H17" r:id="rId49" xr:uid="{00000000-0004-0000-0200-000030000000}"/>
    <hyperlink ref="T17" r:id="rId50" xr:uid="{00000000-0004-0000-0200-000031000000}"/>
    <hyperlink ref="F19" r:id="rId51" xr:uid="{00000000-0004-0000-0200-000032000000}"/>
    <hyperlink ref="H19" r:id="rId52" xr:uid="{00000000-0004-0000-0200-000033000000}"/>
    <hyperlink ref="M19" r:id="rId53" xr:uid="{00000000-0004-0000-0200-000034000000}"/>
    <hyperlink ref="T19" r:id="rId54" xr:uid="{00000000-0004-0000-0200-000035000000}"/>
    <hyperlink ref="H20" r:id="rId55" xr:uid="{00000000-0004-0000-0200-000036000000}"/>
    <hyperlink ref="M20" r:id="rId56" xr:uid="{00000000-0004-0000-0200-000037000000}"/>
    <hyperlink ref="T20" r:id="rId57" xr:uid="{00000000-0004-0000-0200-000038000000}"/>
    <hyperlink ref="F21" r:id="rId58" xr:uid="{00000000-0004-0000-0200-000039000000}"/>
    <hyperlink ref="H21" r:id="rId59" xr:uid="{00000000-0004-0000-0200-00003A000000}"/>
    <hyperlink ref="T21" r:id="rId60" xr:uid="{00000000-0004-0000-0200-00003B000000}"/>
    <hyperlink ref="F22" r:id="rId61" xr:uid="{00000000-0004-0000-0200-00003C000000}"/>
    <hyperlink ref="H22" r:id="rId62" xr:uid="{00000000-0004-0000-0200-00003D000000}"/>
    <hyperlink ref="M22" r:id="rId63" xr:uid="{00000000-0004-0000-0200-00003E000000}"/>
    <hyperlink ref="T22" r:id="rId64" xr:uid="{00000000-0004-0000-0200-00003F000000}"/>
    <hyperlink ref="F24" r:id="rId65" xr:uid="{00000000-0004-0000-0200-000040000000}"/>
    <hyperlink ref="H24" r:id="rId66" xr:uid="{00000000-0004-0000-0200-000041000000}"/>
    <hyperlink ref="M24" r:id="rId67" xr:uid="{00000000-0004-0000-0200-000042000000}"/>
    <hyperlink ref="T24" r:id="rId68" xr:uid="{00000000-0004-0000-0200-000043000000}"/>
    <hyperlink ref="F25" r:id="rId69" xr:uid="{00000000-0004-0000-0200-000044000000}"/>
    <hyperlink ref="H25" r:id="rId70" xr:uid="{00000000-0004-0000-0200-000045000000}"/>
    <hyperlink ref="M25" r:id="rId71" xr:uid="{00000000-0004-0000-0200-000046000000}"/>
    <hyperlink ref="F26" r:id="rId72" xr:uid="{00000000-0004-0000-0200-000047000000}"/>
    <hyperlink ref="H26" r:id="rId73" xr:uid="{00000000-0004-0000-0200-000048000000}"/>
    <hyperlink ref="M26" r:id="rId74" xr:uid="{00000000-0004-0000-0200-000049000000}"/>
    <hyperlink ref="T26" r:id="rId75" xr:uid="{00000000-0004-0000-0200-00004A000000}"/>
    <hyperlink ref="F27" r:id="rId76" xr:uid="{00000000-0004-0000-0200-00004B000000}"/>
    <hyperlink ref="H27" r:id="rId77" xr:uid="{00000000-0004-0000-0200-00004C000000}"/>
    <hyperlink ref="M27" r:id="rId78" xr:uid="{00000000-0004-0000-0200-00004D000000}"/>
    <hyperlink ref="T27" r:id="rId79" xr:uid="{00000000-0004-0000-0200-00004E000000}"/>
    <hyperlink ref="H28" r:id="rId80" xr:uid="{00000000-0004-0000-0200-00004F000000}"/>
    <hyperlink ref="T28" r:id="rId81" xr:uid="{00000000-0004-0000-0200-000050000000}"/>
    <hyperlink ref="F29" r:id="rId82" xr:uid="{00000000-0004-0000-0200-000051000000}"/>
    <hyperlink ref="H29" r:id="rId83" xr:uid="{00000000-0004-0000-0200-000052000000}"/>
    <hyperlink ref="M29" r:id="rId84" xr:uid="{00000000-0004-0000-0200-000053000000}"/>
    <hyperlink ref="T29" r:id="rId85" xr:uid="{00000000-0004-0000-0200-000054000000}"/>
    <hyperlink ref="F30" r:id="rId86" xr:uid="{00000000-0004-0000-0200-000055000000}"/>
    <hyperlink ref="H30" r:id="rId87" xr:uid="{00000000-0004-0000-0200-000056000000}"/>
    <hyperlink ref="M30" r:id="rId88" xr:uid="{00000000-0004-0000-0200-000057000000}"/>
    <hyperlink ref="T30" r:id="rId89" xr:uid="{00000000-0004-0000-0200-000058000000}"/>
    <hyperlink ref="H31" r:id="rId90" xr:uid="{00000000-0004-0000-0200-000059000000}"/>
    <hyperlink ref="M31" r:id="rId91" xr:uid="{00000000-0004-0000-0200-00005A000000}"/>
  </hyperlinks>
  <pageMargins left="0.7" right="0.7" top="0.75" bottom="0.75" header="0.3" footer="0.3"/>
  <tableParts count="9">
    <tablePart r:id="rId92"/>
    <tablePart r:id="rId93"/>
    <tablePart r:id="rId94"/>
    <tablePart r:id="rId95"/>
    <tablePart r:id="rId96"/>
    <tablePart r:id="rId97"/>
    <tablePart r:id="rId98"/>
    <tablePart r:id="rId99"/>
    <tablePart r:id="rId10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38"/>
  <sheetViews>
    <sheetView tabSelected="1" workbookViewId="0">
      <selection activeCell="A2" sqref="A2:O37"/>
    </sheetView>
  </sheetViews>
  <sheetFormatPr baseColWidth="10" defaultColWidth="12.6640625" defaultRowHeight="15.75" customHeight="1"/>
  <cols>
    <col min="1" max="1" width="17.1640625" customWidth="1"/>
    <col min="4" max="5" width="18.6640625" customWidth="1"/>
    <col min="6" max="6" width="34" customWidth="1"/>
    <col min="7" max="7" width="15.1640625" customWidth="1"/>
    <col min="8" max="8" width="20" customWidth="1"/>
    <col min="9" max="10" width="14.6640625" customWidth="1"/>
  </cols>
  <sheetData>
    <row r="1" spans="1:15" ht="56.25" customHeight="1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26</v>
      </c>
      <c r="F1" s="10" t="s">
        <v>28</v>
      </c>
      <c r="G1" s="14" t="s">
        <v>32</v>
      </c>
      <c r="H1" s="14" t="s">
        <v>37</v>
      </c>
      <c r="I1" s="16" t="s">
        <v>41</v>
      </c>
      <c r="J1" s="17" t="s">
        <v>47</v>
      </c>
      <c r="K1" s="17" t="s">
        <v>49</v>
      </c>
      <c r="L1" s="17" t="s">
        <v>50</v>
      </c>
      <c r="M1" s="19" t="s">
        <v>54</v>
      </c>
      <c r="N1" s="22"/>
      <c r="O1" s="22"/>
    </row>
    <row r="2" spans="1:15" ht="15">
      <c r="A2" s="25" t="s">
        <v>59</v>
      </c>
      <c r="B2" s="28">
        <v>46198</v>
      </c>
      <c r="C2" s="29">
        <v>0.41666666666666669</v>
      </c>
      <c r="D2" s="31" t="s">
        <v>74</v>
      </c>
      <c r="E2" s="33"/>
      <c r="F2" s="42" t="s">
        <v>78</v>
      </c>
      <c r="G2" s="44" t="b">
        <v>1</v>
      </c>
      <c r="H2" s="44" t="b">
        <v>1</v>
      </c>
      <c r="I2" s="28">
        <v>46198</v>
      </c>
      <c r="J2" s="52" t="s">
        <v>87</v>
      </c>
      <c r="K2" s="44">
        <v>10</v>
      </c>
      <c r="L2" s="44">
        <v>1</v>
      </c>
      <c r="M2" s="44"/>
    </row>
    <row r="3" spans="1:15" ht="15">
      <c r="A3" s="25" t="s">
        <v>59</v>
      </c>
      <c r="B3" s="28">
        <v>46198</v>
      </c>
      <c r="C3" s="29">
        <v>0.79166666666666663</v>
      </c>
      <c r="D3" s="31" t="s">
        <v>93</v>
      </c>
      <c r="E3" s="33"/>
      <c r="F3" s="59" t="s">
        <v>94</v>
      </c>
      <c r="G3" s="44" t="b">
        <v>1</v>
      </c>
      <c r="H3" s="44" t="b">
        <v>1</v>
      </c>
      <c r="I3" s="28">
        <v>46199</v>
      </c>
      <c r="J3" s="61" t="s">
        <v>102</v>
      </c>
      <c r="K3" s="57">
        <v>8</v>
      </c>
      <c r="L3" s="57">
        <v>2</v>
      </c>
      <c r="M3" s="44"/>
    </row>
    <row r="4" spans="1:15" ht="14">
      <c r="A4" s="25" t="s">
        <v>59</v>
      </c>
      <c r="B4" s="62">
        <v>46200</v>
      </c>
      <c r="C4" s="64">
        <v>0.54166666666666663</v>
      </c>
      <c r="D4" s="66" t="s">
        <v>110</v>
      </c>
      <c r="E4" s="67"/>
      <c r="F4" s="71" t="s">
        <v>112</v>
      </c>
      <c r="G4" s="44" t="b">
        <v>1</v>
      </c>
      <c r="H4" s="44" t="b">
        <v>1</v>
      </c>
      <c r="I4" s="28">
        <v>46200</v>
      </c>
      <c r="J4" s="52" t="s">
        <v>115</v>
      </c>
      <c r="K4" s="44">
        <v>46</v>
      </c>
      <c r="L4" s="44"/>
      <c r="M4" s="44"/>
    </row>
    <row r="5" spans="1:15" ht="14">
      <c r="A5" s="25" t="s">
        <v>59</v>
      </c>
      <c r="B5" s="73">
        <v>46200</v>
      </c>
      <c r="C5" s="74">
        <v>0.625</v>
      </c>
      <c r="D5" s="75" t="s">
        <v>128</v>
      </c>
      <c r="E5" s="76" t="s">
        <v>129</v>
      </c>
      <c r="F5" s="42" t="s">
        <v>133</v>
      </c>
      <c r="G5" s="44" t="b">
        <v>1</v>
      </c>
      <c r="H5" s="44" t="b">
        <v>1</v>
      </c>
      <c r="I5" s="28">
        <v>46201</v>
      </c>
      <c r="J5" s="52" t="s">
        <v>115</v>
      </c>
      <c r="K5" s="44">
        <v>63</v>
      </c>
      <c r="L5" s="44">
        <v>6</v>
      </c>
      <c r="M5" s="44"/>
    </row>
    <row r="6" spans="1:15" ht="16">
      <c r="A6" s="25" t="s">
        <v>59</v>
      </c>
      <c r="B6" s="28">
        <v>46202</v>
      </c>
      <c r="C6" s="74">
        <v>0.52083333333333337</v>
      </c>
      <c r="D6" s="31" t="s">
        <v>149</v>
      </c>
      <c r="E6" s="80" t="s">
        <v>150</v>
      </c>
      <c r="F6" s="83" t="s">
        <v>158</v>
      </c>
      <c r="G6" s="44" t="b">
        <v>1</v>
      </c>
      <c r="H6" s="44" t="b">
        <v>1</v>
      </c>
      <c r="I6" s="28">
        <v>46202</v>
      </c>
      <c r="J6" s="61" t="s">
        <v>166</v>
      </c>
      <c r="K6" s="57">
        <v>33</v>
      </c>
      <c r="L6" s="57">
        <v>4</v>
      </c>
      <c r="M6" s="44"/>
    </row>
    <row r="7" spans="1:15" ht="16">
      <c r="A7" s="25" t="s">
        <v>59</v>
      </c>
      <c r="B7" s="28">
        <v>46201</v>
      </c>
      <c r="C7" s="64">
        <v>0.72916666666666663</v>
      </c>
      <c r="D7" s="31" t="s">
        <v>171</v>
      </c>
      <c r="E7" s="85"/>
      <c r="F7" s="71" t="s">
        <v>172</v>
      </c>
      <c r="G7" s="44" t="b">
        <v>1</v>
      </c>
      <c r="H7" s="44" t="b">
        <v>1</v>
      </c>
      <c r="I7" s="28">
        <v>46203</v>
      </c>
      <c r="J7" s="52" t="s">
        <v>178</v>
      </c>
      <c r="K7" s="44">
        <v>105</v>
      </c>
      <c r="L7" s="44">
        <v>5</v>
      </c>
      <c r="M7" s="44"/>
    </row>
    <row r="8" spans="1:15" ht="14">
      <c r="A8" s="25" t="s">
        <v>59</v>
      </c>
      <c r="B8" s="28">
        <v>46202</v>
      </c>
      <c r="C8" s="93">
        <v>0.66666666666666663</v>
      </c>
      <c r="D8" s="95" t="s">
        <v>181</v>
      </c>
      <c r="E8" s="94"/>
      <c r="F8" s="101" t="s">
        <v>183</v>
      </c>
      <c r="G8" s="44" t="b">
        <v>1</v>
      </c>
      <c r="H8" s="44" t="b">
        <v>1</v>
      </c>
      <c r="I8" s="28">
        <v>46203</v>
      </c>
      <c r="J8" s="102" t="s">
        <v>186</v>
      </c>
      <c r="K8" s="57">
        <v>31</v>
      </c>
      <c r="L8" s="57">
        <v>5</v>
      </c>
      <c r="M8" s="44"/>
    </row>
    <row r="9" spans="1:15" ht="14">
      <c r="A9" s="25" t="s">
        <v>59</v>
      </c>
      <c r="B9" s="73">
        <v>46203</v>
      </c>
      <c r="C9" s="74">
        <v>0.54166666666666663</v>
      </c>
      <c r="D9" s="75" t="s">
        <v>187</v>
      </c>
      <c r="E9" s="32"/>
      <c r="F9" s="42" t="s">
        <v>189</v>
      </c>
      <c r="G9" s="44" t="b">
        <v>1</v>
      </c>
      <c r="H9" s="44" t="b">
        <v>1</v>
      </c>
      <c r="I9" s="28">
        <v>46198</v>
      </c>
      <c r="J9" s="52" t="s">
        <v>201</v>
      </c>
      <c r="K9" s="44">
        <v>23</v>
      </c>
      <c r="L9" s="44">
        <v>4</v>
      </c>
      <c r="M9" s="44"/>
    </row>
    <row r="10" spans="1:15" ht="14">
      <c r="A10" s="25" t="s">
        <v>59</v>
      </c>
      <c r="B10" s="73">
        <v>46203</v>
      </c>
      <c r="C10" s="74">
        <v>0.64583333333333337</v>
      </c>
      <c r="D10" s="75" t="s">
        <v>217</v>
      </c>
      <c r="E10" s="76" t="s">
        <v>218</v>
      </c>
      <c r="F10" s="42" t="s">
        <v>232</v>
      </c>
      <c r="G10" s="44" t="b">
        <v>1</v>
      </c>
      <c r="H10" s="44" t="b">
        <v>1</v>
      </c>
      <c r="I10" s="28">
        <v>46199</v>
      </c>
      <c r="J10" s="87" t="s">
        <v>254</v>
      </c>
      <c r="K10" s="44">
        <v>8</v>
      </c>
      <c r="L10" s="44"/>
      <c r="M10" s="44" t="s">
        <v>270</v>
      </c>
    </row>
    <row r="11" spans="1:15" ht="14">
      <c r="A11" s="25" t="s">
        <v>59</v>
      </c>
      <c r="B11" s="120">
        <v>46200</v>
      </c>
      <c r="C11" s="122">
        <v>0.58333333333333337</v>
      </c>
      <c r="D11" s="123" t="s">
        <v>273</v>
      </c>
      <c r="E11" s="127" t="s">
        <v>274</v>
      </c>
      <c r="F11" s="130" t="s">
        <v>279</v>
      </c>
      <c r="G11" s="44" t="b">
        <v>1</v>
      </c>
      <c r="H11" s="44" t="b">
        <v>1</v>
      </c>
      <c r="I11" s="28">
        <v>46199</v>
      </c>
      <c r="J11" s="87" t="s">
        <v>282</v>
      </c>
      <c r="K11" s="44">
        <v>47</v>
      </c>
      <c r="L11" s="44">
        <v>8</v>
      </c>
      <c r="M11" s="44"/>
    </row>
    <row r="12" spans="1:15" ht="14">
      <c r="A12" s="25" t="s">
        <v>59</v>
      </c>
      <c r="B12" s="120">
        <v>46204</v>
      </c>
      <c r="C12" s="122">
        <v>0.35416666666666669</v>
      </c>
      <c r="D12" s="123" t="s">
        <v>286</v>
      </c>
      <c r="E12" s="34"/>
      <c r="F12" s="59" t="s">
        <v>287</v>
      </c>
      <c r="G12" s="44" t="b">
        <v>1</v>
      </c>
      <c r="H12" s="44" t="b">
        <v>1</v>
      </c>
      <c r="I12" s="28">
        <v>46204</v>
      </c>
      <c r="J12" s="52" t="s">
        <v>308</v>
      </c>
      <c r="K12" s="44">
        <v>45</v>
      </c>
      <c r="L12" s="44">
        <v>10</v>
      </c>
      <c r="M12" s="44"/>
    </row>
    <row r="13" spans="1:15" ht="14">
      <c r="A13" s="25" t="s">
        <v>59</v>
      </c>
      <c r="B13" s="120">
        <v>46204</v>
      </c>
      <c r="C13" s="122">
        <v>0.35416666666666669</v>
      </c>
      <c r="D13" s="123" t="s">
        <v>321</v>
      </c>
      <c r="E13" s="34"/>
      <c r="F13" s="59" t="s">
        <v>322</v>
      </c>
      <c r="G13" s="44" t="b">
        <v>1</v>
      </c>
      <c r="H13" s="44" t="b">
        <v>1</v>
      </c>
      <c r="I13" s="28">
        <v>46198</v>
      </c>
      <c r="J13" s="52" t="s">
        <v>335</v>
      </c>
      <c r="K13" s="44">
        <v>100</v>
      </c>
      <c r="L13" s="44">
        <v>5</v>
      </c>
      <c r="M13" s="44"/>
    </row>
    <row r="14" spans="1:15" ht="24" customHeight="1">
      <c r="A14" s="141"/>
      <c r="B14" s="141"/>
      <c r="C14" s="141"/>
      <c r="D14" s="147"/>
      <c r="E14" s="141"/>
      <c r="F14" s="142"/>
      <c r="G14" s="142"/>
      <c r="H14" s="142"/>
      <c r="I14" s="149"/>
      <c r="J14" s="142"/>
      <c r="K14" s="142"/>
      <c r="L14" s="142"/>
      <c r="M14" s="142"/>
      <c r="N14" s="150"/>
      <c r="O14" s="150"/>
    </row>
    <row r="15" spans="1:15" ht="15">
      <c r="A15" s="145" t="s">
        <v>348</v>
      </c>
      <c r="B15" s="28">
        <v>46196</v>
      </c>
      <c r="C15" s="29">
        <v>0.75</v>
      </c>
      <c r="D15" s="31" t="s">
        <v>363</v>
      </c>
      <c r="E15" s="33"/>
      <c r="F15" s="59" t="s">
        <v>366</v>
      </c>
      <c r="G15" s="44" t="b">
        <v>1</v>
      </c>
      <c r="H15" s="44" t="b">
        <v>1</v>
      </c>
      <c r="I15" s="28">
        <v>46199</v>
      </c>
      <c r="J15" s="52" t="s">
        <v>368</v>
      </c>
      <c r="K15" s="57">
        <v>212</v>
      </c>
      <c r="L15" s="57">
        <v>15</v>
      </c>
      <c r="M15" s="44"/>
    </row>
    <row r="16" spans="1:15" ht="15">
      <c r="A16" s="145" t="s">
        <v>348</v>
      </c>
      <c r="B16" s="28">
        <v>46197</v>
      </c>
      <c r="C16" s="29">
        <v>0.58333333333333337</v>
      </c>
      <c r="D16" s="31" t="s">
        <v>369</v>
      </c>
      <c r="E16" s="159" t="s">
        <v>370</v>
      </c>
      <c r="F16" s="42" t="s">
        <v>382</v>
      </c>
      <c r="G16" s="44" t="b">
        <v>1</v>
      </c>
      <c r="H16" s="44" t="b">
        <v>1</v>
      </c>
      <c r="I16" s="73">
        <v>46197</v>
      </c>
      <c r="J16" s="87" t="s">
        <v>374</v>
      </c>
      <c r="K16" s="44">
        <v>40</v>
      </c>
      <c r="L16" s="44">
        <v>6</v>
      </c>
      <c r="M16" s="44"/>
    </row>
    <row r="17" spans="1:15" ht="14">
      <c r="A17" s="145" t="s">
        <v>348</v>
      </c>
      <c r="B17" s="30">
        <v>46203</v>
      </c>
      <c r="C17" s="74">
        <v>0.70833333333333337</v>
      </c>
      <c r="D17" s="75" t="s">
        <v>387</v>
      </c>
      <c r="E17" s="32"/>
      <c r="F17" s="42" t="s">
        <v>388</v>
      </c>
      <c r="G17" s="44" t="b">
        <v>1</v>
      </c>
      <c r="H17" s="44" t="b">
        <v>1</v>
      </c>
      <c r="I17" s="28">
        <v>46199</v>
      </c>
      <c r="J17" s="52" t="s">
        <v>390</v>
      </c>
      <c r="K17" s="44">
        <v>91</v>
      </c>
      <c r="L17" s="44"/>
      <c r="M17" s="44"/>
    </row>
    <row r="18" spans="1:15" ht="13">
      <c r="A18" s="141"/>
      <c r="B18" s="141"/>
      <c r="C18" s="141"/>
      <c r="D18" s="147"/>
      <c r="E18" s="141"/>
      <c r="F18" s="142"/>
      <c r="G18" s="142"/>
      <c r="H18" s="142"/>
      <c r="I18" s="142"/>
      <c r="J18" s="142"/>
      <c r="K18" s="142"/>
      <c r="L18" s="142"/>
      <c r="M18" s="142"/>
      <c r="N18" s="150"/>
      <c r="O18" s="150"/>
    </row>
    <row r="19" spans="1:15" ht="14">
      <c r="A19" s="168" t="s">
        <v>417</v>
      </c>
      <c r="B19" s="73">
        <v>46200</v>
      </c>
      <c r="C19" s="93">
        <v>0.58333333333333337</v>
      </c>
      <c r="D19" s="95" t="s">
        <v>96</v>
      </c>
      <c r="E19" s="94"/>
      <c r="F19" s="101" t="s">
        <v>424</v>
      </c>
      <c r="G19" s="44" t="b">
        <v>1</v>
      </c>
      <c r="H19" s="44" t="b">
        <v>1</v>
      </c>
      <c r="I19" s="28">
        <v>46199</v>
      </c>
      <c r="J19" s="52" t="s">
        <v>433</v>
      </c>
      <c r="K19" s="44">
        <v>33</v>
      </c>
      <c r="L19" s="44">
        <v>10</v>
      </c>
      <c r="M19" s="44"/>
    </row>
    <row r="20" spans="1:15" ht="14">
      <c r="A20" s="168" t="s">
        <v>417</v>
      </c>
      <c r="B20" s="91">
        <v>46200</v>
      </c>
      <c r="C20" s="93">
        <v>0.625</v>
      </c>
      <c r="D20" s="95" t="s">
        <v>439</v>
      </c>
      <c r="E20" s="170"/>
      <c r="F20" s="172" t="s">
        <v>444</v>
      </c>
      <c r="G20" s="44" t="b">
        <v>1</v>
      </c>
      <c r="H20" s="44" t="b">
        <v>1</v>
      </c>
      <c r="I20" s="28">
        <v>46199</v>
      </c>
      <c r="J20" s="52" t="s">
        <v>460</v>
      </c>
      <c r="K20" s="44">
        <v>34</v>
      </c>
      <c r="L20" s="44">
        <v>9</v>
      </c>
      <c r="M20" s="44"/>
    </row>
    <row r="21" spans="1:15" ht="16">
      <c r="A21" s="168" t="s">
        <v>417</v>
      </c>
      <c r="B21" s="181">
        <v>46201</v>
      </c>
      <c r="C21" s="74">
        <v>0.4375</v>
      </c>
      <c r="D21" s="31" t="s">
        <v>103</v>
      </c>
      <c r="E21" s="85"/>
      <c r="F21" s="130" t="s">
        <v>465</v>
      </c>
      <c r="G21" s="44" t="b">
        <v>1</v>
      </c>
      <c r="H21" s="44" t="b">
        <v>1</v>
      </c>
      <c r="I21" s="28">
        <v>46199</v>
      </c>
      <c r="J21" s="87" t="s">
        <v>107</v>
      </c>
      <c r="K21" s="44">
        <v>3</v>
      </c>
      <c r="L21" s="44">
        <v>1</v>
      </c>
      <c r="M21" s="44"/>
    </row>
    <row r="22" spans="1:15" ht="13">
      <c r="A22" s="141"/>
      <c r="B22" s="141"/>
      <c r="C22" s="141"/>
      <c r="D22" s="147"/>
      <c r="E22" s="141"/>
      <c r="F22" s="142"/>
      <c r="G22" s="142"/>
      <c r="H22" s="142"/>
      <c r="I22" s="142"/>
      <c r="J22" s="142"/>
      <c r="K22" s="142"/>
      <c r="L22" s="142"/>
      <c r="M22" s="142"/>
      <c r="N22" s="150"/>
      <c r="O22" s="150"/>
    </row>
    <row r="23" spans="1:15" ht="14">
      <c r="A23" s="186" t="s">
        <v>483</v>
      </c>
      <c r="B23" s="30">
        <v>46200</v>
      </c>
      <c r="C23" s="32" t="s">
        <v>485</v>
      </c>
      <c r="D23" s="75" t="s">
        <v>486</v>
      </c>
      <c r="E23" s="32"/>
      <c r="F23" s="165" t="s">
        <v>487</v>
      </c>
      <c r="G23" s="44" t="b">
        <v>1</v>
      </c>
      <c r="H23" s="44" t="b">
        <v>1</v>
      </c>
      <c r="I23" s="28">
        <v>46199</v>
      </c>
      <c r="J23" s="193" t="s">
        <v>493</v>
      </c>
      <c r="K23" s="194">
        <v>32</v>
      </c>
      <c r="L23" s="194">
        <v>25</v>
      </c>
      <c r="M23" s="44"/>
    </row>
    <row r="24" spans="1:15" ht="13">
      <c r="A24" s="186" t="s">
        <v>483</v>
      </c>
      <c r="B24" s="30">
        <v>46203</v>
      </c>
      <c r="C24" s="74">
        <v>0.79166666666666663</v>
      </c>
      <c r="D24" s="75" t="s">
        <v>511</v>
      </c>
      <c r="E24" s="32"/>
      <c r="F24" s="59" t="s">
        <v>514</v>
      </c>
      <c r="G24" s="44" t="b">
        <v>1</v>
      </c>
      <c r="H24" s="44" t="b">
        <v>1</v>
      </c>
      <c r="I24" s="203">
        <v>46203</v>
      </c>
      <c r="J24" s="59" t="s">
        <v>533</v>
      </c>
      <c r="K24" s="106">
        <v>73</v>
      </c>
      <c r="L24" s="106">
        <v>4</v>
      </c>
      <c r="M24" s="44"/>
    </row>
    <row r="25" spans="1:15" ht="13">
      <c r="A25" s="141"/>
      <c r="B25" s="141"/>
      <c r="C25" s="141"/>
      <c r="D25" s="147"/>
      <c r="E25" s="141"/>
      <c r="F25" s="142"/>
      <c r="G25" s="142"/>
      <c r="H25" s="142"/>
      <c r="I25" s="142"/>
      <c r="J25" s="142"/>
      <c r="K25" s="142"/>
      <c r="L25" s="142"/>
      <c r="M25" s="142"/>
      <c r="N25" s="150"/>
      <c r="O25" s="150"/>
    </row>
    <row r="26" spans="1:15" ht="18.75" customHeight="1">
      <c r="A26" s="39" t="s">
        <v>541</v>
      </c>
      <c r="B26" s="73">
        <v>46198</v>
      </c>
      <c r="C26" s="74">
        <v>0.89583333333333337</v>
      </c>
      <c r="D26" s="208" t="s">
        <v>542</v>
      </c>
      <c r="E26" s="135"/>
      <c r="F26" s="165" t="s">
        <v>543</v>
      </c>
      <c r="G26" s="44" t="b">
        <v>1</v>
      </c>
      <c r="H26" s="44" t="b">
        <v>1</v>
      </c>
      <c r="I26" s="28">
        <v>46199</v>
      </c>
      <c r="J26" s="212" t="s">
        <v>551</v>
      </c>
      <c r="K26" s="90">
        <v>5</v>
      </c>
      <c r="L26" s="90">
        <v>1</v>
      </c>
      <c r="M26" s="44"/>
    </row>
    <row r="27" spans="1:15" ht="14">
      <c r="A27" s="39" t="s">
        <v>541</v>
      </c>
      <c r="B27" s="62">
        <v>46199</v>
      </c>
      <c r="C27" s="64">
        <v>0.89583333333333337</v>
      </c>
      <c r="D27" s="66" t="s">
        <v>556</v>
      </c>
      <c r="E27" s="214" t="s">
        <v>557</v>
      </c>
      <c r="F27" s="71" t="s">
        <v>575</v>
      </c>
      <c r="G27" s="44" t="b">
        <v>1</v>
      </c>
      <c r="H27" s="44" t="b">
        <v>1</v>
      </c>
      <c r="I27" s="28">
        <v>46203</v>
      </c>
      <c r="J27" s="130" t="s">
        <v>586</v>
      </c>
      <c r="K27" s="194">
        <v>10</v>
      </c>
      <c r="L27" s="194"/>
      <c r="M27" s="44"/>
    </row>
    <row r="28" spans="1:15" ht="14">
      <c r="A28" s="39" t="s">
        <v>541</v>
      </c>
      <c r="B28" s="73">
        <v>46200</v>
      </c>
      <c r="C28" s="74">
        <v>0.66666666666666663</v>
      </c>
      <c r="D28" s="75" t="s">
        <v>591</v>
      </c>
      <c r="E28" s="76" t="s">
        <v>592</v>
      </c>
      <c r="F28" s="42" t="s">
        <v>596</v>
      </c>
      <c r="G28" s="44" t="b">
        <v>1</v>
      </c>
      <c r="H28" s="44" t="b">
        <v>1</v>
      </c>
      <c r="I28" s="28">
        <v>46203</v>
      </c>
      <c r="J28" s="83" t="s">
        <v>599</v>
      </c>
      <c r="K28" s="90">
        <v>37</v>
      </c>
      <c r="L28" s="90">
        <v>2</v>
      </c>
      <c r="M28" s="44"/>
    </row>
    <row r="29" spans="1:15" ht="14">
      <c r="A29" s="39" t="s">
        <v>541</v>
      </c>
      <c r="B29" s="235">
        <v>46200</v>
      </c>
      <c r="C29" s="93">
        <v>0.70833333333333337</v>
      </c>
      <c r="D29" s="237" t="s">
        <v>605</v>
      </c>
      <c r="E29" s="239"/>
      <c r="F29" s="244" t="s">
        <v>608</v>
      </c>
      <c r="G29" s="44" t="b">
        <v>1</v>
      </c>
      <c r="H29" s="44" t="b">
        <v>1</v>
      </c>
      <c r="I29" s="28">
        <v>46203</v>
      </c>
      <c r="J29" s="130" t="s">
        <v>612</v>
      </c>
      <c r="K29" s="106">
        <v>54</v>
      </c>
      <c r="L29" s="106">
        <v>2</v>
      </c>
      <c r="M29" s="44"/>
    </row>
    <row r="30" spans="1:15" ht="16">
      <c r="A30" s="39" t="s">
        <v>541</v>
      </c>
      <c r="B30" s="28">
        <v>46201</v>
      </c>
      <c r="C30" s="74">
        <v>0.58333333333333337</v>
      </c>
      <c r="D30" s="31" t="s">
        <v>546</v>
      </c>
      <c r="E30" s="85"/>
      <c r="F30" s="83" t="s">
        <v>620</v>
      </c>
      <c r="G30" s="44" t="b">
        <v>1</v>
      </c>
      <c r="H30" s="44" t="b">
        <v>1</v>
      </c>
      <c r="I30" s="28">
        <v>46203</v>
      </c>
      <c r="J30" s="59" t="s">
        <v>550</v>
      </c>
      <c r="K30" s="194">
        <v>55</v>
      </c>
      <c r="L30" s="194">
        <v>5</v>
      </c>
      <c r="M30" s="44"/>
    </row>
    <row r="31" spans="1:15" ht="16">
      <c r="A31" s="39" t="s">
        <v>541</v>
      </c>
      <c r="B31" s="28">
        <v>46203</v>
      </c>
      <c r="C31" s="64">
        <v>0.83333333333333337</v>
      </c>
      <c r="D31" s="31" t="s">
        <v>622</v>
      </c>
      <c r="E31" s="85"/>
      <c r="F31" s="71" t="s">
        <v>623</v>
      </c>
      <c r="G31" s="44" t="b">
        <v>1</v>
      </c>
      <c r="H31" s="44" t="b">
        <v>1</v>
      </c>
      <c r="I31" s="28">
        <v>46200</v>
      </c>
      <c r="J31" s="42" t="s">
        <v>629</v>
      </c>
      <c r="K31" s="90">
        <v>17</v>
      </c>
      <c r="L31" s="90">
        <v>4</v>
      </c>
      <c r="M31" s="44"/>
    </row>
    <row r="32" spans="1:15" ht="14">
      <c r="A32" s="39" t="s">
        <v>541</v>
      </c>
      <c r="B32" s="73">
        <v>46203</v>
      </c>
      <c r="C32" s="74">
        <v>0.85416666666666663</v>
      </c>
      <c r="D32" s="75" t="s">
        <v>632</v>
      </c>
      <c r="E32" s="32"/>
      <c r="F32" s="262" t="s">
        <v>633</v>
      </c>
      <c r="G32" s="44" t="b">
        <v>1</v>
      </c>
      <c r="H32" s="44" t="b">
        <v>1</v>
      </c>
      <c r="I32" s="28">
        <v>46201</v>
      </c>
      <c r="J32" s="102" t="s">
        <v>641</v>
      </c>
      <c r="K32" s="44">
        <v>4</v>
      </c>
      <c r="L32" s="44"/>
      <c r="M32" s="44"/>
    </row>
    <row r="33" spans="1:15" ht="14">
      <c r="A33" s="39" t="s">
        <v>541</v>
      </c>
      <c r="B33" s="73">
        <v>46203</v>
      </c>
      <c r="C33" s="74">
        <v>0.85416666666666663</v>
      </c>
      <c r="D33" s="75" t="s">
        <v>642</v>
      </c>
      <c r="E33" s="32"/>
      <c r="F33" s="59" t="s">
        <v>643</v>
      </c>
      <c r="G33" s="44" t="b">
        <v>1</v>
      </c>
      <c r="H33" s="44" t="b">
        <v>1</v>
      </c>
      <c r="I33" s="28">
        <v>46199</v>
      </c>
      <c r="J33" s="102" t="s">
        <v>645</v>
      </c>
      <c r="K33" s="44">
        <v>61</v>
      </c>
      <c r="L33" s="44">
        <v>22</v>
      </c>
      <c r="M33" s="44"/>
    </row>
    <row r="34" spans="1:15" ht="14">
      <c r="A34" s="39" t="s">
        <v>541</v>
      </c>
      <c r="B34" s="73">
        <v>46203</v>
      </c>
      <c r="C34" s="74">
        <v>0.85416666666666663</v>
      </c>
      <c r="D34" s="75" t="s">
        <v>650</v>
      </c>
      <c r="E34" s="32"/>
      <c r="F34" s="59" t="s">
        <v>652</v>
      </c>
      <c r="G34" s="44" t="b">
        <v>1</v>
      </c>
      <c r="H34" s="44" t="b">
        <v>1</v>
      </c>
      <c r="I34" s="28">
        <v>46203</v>
      </c>
      <c r="J34" s="87" t="s">
        <v>659</v>
      </c>
      <c r="K34" s="44">
        <v>67</v>
      </c>
      <c r="L34" s="44"/>
      <c r="M34" s="44"/>
    </row>
    <row r="35" spans="1:15" ht="14">
      <c r="A35" s="39" t="s">
        <v>541</v>
      </c>
      <c r="B35" s="73">
        <v>46199</v>
      </c>
      <c r="C35" s="74">
        <v>0.8125</v>
      </c>
      <c r="D35" s="75" t="s">
        <v>660</v>
      </c>
      <c r="E35" s="32"/>
      <c r="F35" s="59" t="s">
        <v>661</v>
      </c>
      <c r="G35" s="44" t="b">
        <v>1</v>
      </c>
      <c r="H35" s="44" t="b">
        <v>1</v>
      </c>
      <c r="I35" s="28">
        <v>46199</v>
      </c>
      <c r="J35" s="52" t="s">
        <v>662</v>
      </c>
      <c r="K35" s="44">
        <v>34</v>
      </c>
      <c r="L35" s="44">
        <v>4</v>
      </c>
      <c r="M35" s="44"/>
    </row>
    <row r="36" spans="1:15" ht="14">
      <c r="A36" s="39" t="s">
        <v>541</v>
      </c>
      <c r="B36" s="73">
        <v>46200</v>
      </c>
      <c r="C36" s="74">
        <v>0.5</v>
      </c>
      <c r="D36" s="75" t="s">
        <v>664</v>
      </c>
      <c r="E36" s="76" t="s">
        <v>665</v>
      </c>
      <c r="F36" s="288" t="s">
        <v>668</v>
      </c>
      <c r="G36" s="44" t="b">
        <v>1</v>
      </c>
      <c r="H36" s="44" t="b">
        <v>1</v>
      </c>
      <c r="I36" s="28">
        <v>46199</v>
      </c>
      <c r="J36" s="87" t="s">
        <v>670</v>
      </c>
      <c r="K36" s="44">
        <v>108</v>
      </c>
      <c r="L36" s="44">
        <v>37</v>
      </c>
      <c r="M36" s="44"/>
    </row>
    <row r="37" spans="1:15" ht="13">
      <c r="A37" s="141"/>
      <c r="B37" s="141"/>
      <c r="C37" s="141"/>
      <c r="D37" s="141"/>
      <c r="E37" s="141"/>
      <c r="F37" s="142"/>
      <c r="G37" s="142"/>
      <c r="H37" s="142"/>
      <c r="I37" s="142"/>
      <c r="J37" s="142"/>
      <c r="K37" s="142"/>
      <c r="L37" s="142"/>
      <c r="M37" s="142"/>
      <c r="N37" s="150"/>
      <c r="O37" s="150"/>
    </row>
    <row r="38" spans="1:15" ht="13">
      <c r="A38" s="141"/>
      <c r="B38" s="141"/>
      <c r="C38" s="141"/>
      <c r="D38" s="141"/>
      <c r="E38" s="141"/>
      <c r="F38" s="142"/>
      <c r="G38" s="142"/>
      <c r="H38" s="142"/>
      <c r="I38" s="142"/>
      <c r="J38" s="142"/>
      <c r="K38" s="142"/>
      <c r="L38" s="142"/>
      <c r="M38" s="142"/>
      <c r="N38" s="150"/>
      <c r="O38" s="150"/>
    </row>
  </sheetData>
  <phoneticPr fontId="251" type="noConversion"/>
  <hyperlinks>
    <hyperlink ref="F2" r:id="rId1" xr:uid="{00000000-0004-0000-0300-000000000000}"/>
    <hyperlink ref="J2" r:id="rId2" xr:uid="{00000000-0004-0000-0300-000001000000}"/>
    <hyperlink ref="F3" r:id="rId3" xr:uid="{00000000-0004-0000-0300-000002000000}"/>
    <hyperlink ref="J3" r:id="rId4" xr:uid="{00000000-0004-0000-0300-000003000000}"/>
    <hyperlink ref="F4" r:id="rId5" xr:uid="{00000000-0004-0000-0300-000004000000}"/>
    <hyperlink ref="J4" r:id="rId6" xr:uid="{00000000-0004-0000-0300-000005000000}"/>
    <hyperlink ref="E5" r:id="rId7" xr:uid="{00000000-0004-0000-0300-000006000000}"/>
    <hyperlink ref="F5" r:id="rId8" xr:uid="{00000000-0004-0000-0300-000007000000}"/>
    <hyperlink ref="E6" r:id="rId9" xr:uid="{00000000-0004-0000-0300-000009000000}"/>
    <hyperlink ref="F6" r:id="rId10" xr:uid="{00000000-0004-0000-0300-00000A000000}"/>
    <hyperlink ref="J6" r:id="rId11" xr:uid="{00000000-0004-0000-0300-00000B000000}"/>
    <hyperlink ref="F7" r:id="rId12" xr:uid="{00000000-0004-0000-0300-00000C000000}"/>
    <hyperlink ref="J7" r:id="rId13" xr:uid="{00000000-0004-0000-0300-00000D000000}"/>
    <hyperlink ref="F8" r:id="rId14" xr:uid="{00000000-0004-0000-0300-00000E000000}"/>
    <hyperlink ref="J8" r:id="rId15" xr:uid="{00000000-0004-0000-0300-00000F000000}"/>
    <hyperlink ref="F9" r:id="rId16" xr:uid="{00000000-0004-0000-0300-000010000000}"/>
    <hyperlink ref="J9" r:id="rId17" xr:uid="{00000000-0004-0000-0300-000011000000}"/>
    <hyperlink ref="E10" r:id="rId18" xr:uid="{00000000-0004-0000-0300-000012000000}"/>
    <hyperlink ref="F10" r:id="rId19" xr:uid="{00000000-0004-0000-0300-000013000000}"/>
    <hyperlink ref="J10" r:id="rId20" xr:uid="{00000000-0004-0000-0300-000014000000}"/>
    <hyperlink ref="E11" r:id="rId21" xr:uid="{00000000-0004-0000-0300-000015000000}"/>
    <hyperlink ref="F11" r:id="rId22" xr:uid="{00000000-0004-0000-0300-000016000000}"/>
    <hyperlink ref="J11" r:id="rId23" xr:uid="{00000000-0004-0000-0300-000017000000}"/>
    <hyperlink ref="F12" r:id="rId24" xr:uid="{00000000-0004-0000-0300-000018000000}"/>
    <hyperlink ref="J12" r:id="rId25" xr:uid="{00000000-0004-0000-0300-000019000000}"/>
    <hyperlink ref="F13" r:id="rId26" xr:uid="{00000000-0004-0000-0300-00001A000000}"/>
    <hyperlink ref="J13" r:id="rId27" xr:uid="{00000000-0004-0000-0300-00001B000000}"/>
    <hyperlink ref="J15" r:id="rId28" xr:uid="{00000000-0004-0000-0300-00001C000000}"/>
    <hyperlink ref="E16" r:id="rId29" xr:uid="{00000000-0004-0000-0300-00001D000000}"/>
    <hyperlink ref="J16" r:id="rId30" xr:uid="{00000000-0004-0000-0300-00001E000000}"/>
    <hyperlink ref="F17" r:id="rId31" xr:uid="{00000000-0004-0000-0300-00001F000000}"/>
    <hyperlink ref="J17" r:id="rId32" xr:uid="{00000000-0004-0000-0300-000020000000}"/>
    <hyperlink ref="F19" r:id="rId33" xr:uid="{00000000-0004-0000-0300-000021000000}"/>
    <hyperlink ref="J19" r:id="rId34" xr:uid="{00000000-0004-0000-0300-000022000000}"/>
    <hyperlink ref="F20" r:id="rId35" xr:uid="{00000000-0004-0000-0300-000023000000}"/>
    <hyperlink ref="J20" r:id="rId36" xr:uid="{00000000-0004-0000-0300-000024000000}"/>
    <hyperlink ref="F21" r:id="rId37" xr:uid="{00000000-0004-0000-0300-000025000000}"/>
    <hyperlink ref="J21" r:id="rId38" xr:uid="{00000000-0004-0000-0300-000026000000}"/>
    <hyperlink ref="F23" r:id="rId39" xr:uid="{00000000-0004-0000-0300-000027000000}"/>
    <hyperlink ref="J23" r:id="rId40" xr:uid="{00000000-0004-0000-0300-000028000000}"/>
    <hyperlink ref="F24" r:id="rId41" xr:uid="{00000000-0004-0000-0300-000029000000}"/>
    <hyperlink ref="J24" r:id="rId42" xr:uid="{00000000-0004-0000-0300-00002A000000}"/>
    <hyperlink ref="F26" r:id="rId43" xr:uid="{00000000-0004-0000-0300-00002B000000}"/>
    <hyperlink ref="J26" r:id="rId44" xr:uid="{00000000-0004-0000-0300-00002C000000}"/>
    <hyperlink ref="E27" r:id="rId45" xr:uid="{00000000-0004-0000-0300-00002D000000}"/>
    <hyperlink ref="F27" r:id="rId46" xr:uid="{00000000-0004-0000-0300-00002E000000}"/>
    <hyperlink ref="J27" r:id="rId47" xr:uid="{00000000-0004-0000-0300-00002F000000}"/>
    <hyperlink ref="E28" r:id="rId48" xr:uid="{00000000-0004-0000-0300-000030000000}"/>
    <hyperlink ref="F28" r:id="rId49" xr:uid="{00000000-0004-0000-0300-000031000000}"/>
    <hyperlink ref="J28" r:id="rId50" xr:uid="{00000000-0004-0000-0300-000032000000}"/>
    <hyperlink ref="F29" r:id="rId51" xr:uid="{00000000-0004-0000-0300-000033000000}"/>
    <hyperlink ref="J29" r:id="rId52" xr:uid="{00000000-0004-0000-0300-000034000000}"/>
    <hyperlink ref="F30" r:id="rId53" xr:uid="{00000000-0004-0000-0300-000035000000}"/>
    <hyperlink ref="J30" r:id="rId54" xr:uid="{00000000-0004-0000-0300-000036000000}"/>
    <hyperlink ref="F31" r:id="rId55" xr:uid="{00000000-0004-0000-0300-000037000000}"/>
    <hyperlink ref="J31" r:id="rId56" xr:uid="{00000000-0004-0000-0300-000038000000}"/>
    <hyperlink ref="F32" r:id="rId57" xr:uid="{00000000-0004-0000-0300-000039000000}"/>
    <hyperlink ref="J32" r:id="rId58" xr:uid="{00000000-0004-0000-0300-00003A000000}"/>
    <hyperlink ref="F33" r:id="rId59" xr:uid="{00000000-0004-0000-0300-00003B000000}"/>
    <hyperlink ref="J33" r:id="rId60" xr:uid="{00000000-0004-0000-0300-00003C000000}"/>
    <hyperlink ref="F34" r:id="rId61" xr:uid="{00000000-0004-0000-0300-00003D000000}"/>
    <hyperlink ref="J34" r:id="rId62" xr:uid="{00000000-0004-0000-0300-00003E000000}"/>
    <hyperlink ref="F35" r:id="rId63" xr:uid="{00000000-0004-0000-0300-00003F000000}"/>
    <hyperlink ref="J35" r:id="rId64" xr:uid="{00000000-0004-0000-0300-000040000000}"/>
    <hyperlink ref="E36" r:id="rId65" xr:uid="{00000000-0004-0000-0300-000041000000}"/>
    <hyperlink ref="F36" r:id="rId66" xr:uid="{00000000-0004-0000-0300-000042000000}"/>
    <hyperlink ref="J36" r:id="rId67" xr:uid="{00000000-0004-0000-0300-000043000000}"/>
    <hyperlink ref="J5" r:id="rId68" xr:uid="{C21A6717-A47C-CE4C-9435-C3B98553F4FF}"/>
  </hyperlinks>
  <pageMargins left="0.7" right="0.7" top="0.75" bottom="0.75" header="0.3" footer="0.3"/>
  <tableParts count="7">
    <tablePart r:id="rId69"/>
    <tablePart r:id="rId70"/>
    <tablePart r:id="rId71"/>
    <tablePart r:id="rId72"/>
    <tablePart r:id="rId73"/>
    <tablePart r:id="rId74"/>
    <tablePart r:id="rId7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B10"/>
  <sheetViews>
    <sheetView workbookViewId="0">
      <selection activeCell="Q3" sqref="Q3"/>
    </sheetView>
  </sheetViews>
  <sheetFormatPr baseColWidth="10" defaultColWidth="12.6640625" defaultRowHeight="15.75" customHeight="1"/>
  <cols>
    <col min="2" max="2" width="14.1640625" customWidth="1"/>
    <col min="3" max="3" width="16.1640625" customWidth="1"/>
    <col min="4" max="5" width="15.6640625" customWidth="1"/>
    <col min="6" max="6" width="15.5" customWidth="1"/>
    <col min="7" max="8" width="15.6640625" customWidth="1"/>
    <col min="11" max="12" width="15.33203125" customWidth="1"/>
    <col min="17" max="17" width="14.1640625" customWidth="1"/>
  </cols>
  <sheetData>
    <row r="1" spans="1:28" ht="31.5" customHeight="1">
      <c r="A1" s="498" t="s">
        <v>252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</row>
    <row r="2" spans="1:28" ht="39" customHeight="1">
      <c r="A2" s="10" t="s">
        <v>23</v>
      </c>
      <c r="B2" s="114" t="s">
        <v>263</v>
      </c>
      <c r="C2" s="116" t="s">
        <v>60</v>
      </c>
      <c r="D2" s="116" t="s">
        <v>117</v>
      </c>
      <c r="E2" s="114" t="s">
        <v>266</v>
      </c>
      <c r="F2" s="114" t="s">
        <v>267</v>
      </c>
      <c r="G2" s="116" t="s">
        <v>28</v>
      </c>
      <c r="H2" s="116" t="s">
        <v>268</v>
      </c>
      <c r="I2" s="118" t="s">
        <v>269</v>
      </c>
      <c r="J2" s="118" t="s">
        <v>271</v>
      </c>
      <c r="K2" s="113" t="s">
        <v>40</v>
      </c>
      <c r="L2" s="121" t="s">
        <v>45</v>
      </c>
      <c r="M2" s="121" t="s">
        <v>48</v>
      </c>
      <c r="N2" s="121" t="s">
        <v>49</v>
      </c>
      <c r="O2" s="121" t="s">
        <v>50</v>
      </c>
      <c r="P2" s="121" t="s">
        <v>52</v>
      </c>
      <c r="Q2" s="124" t="s">
        <v>61</v>
      </c>
      <c r="R2" s="125" t="s">
        <v>48</v>
      </c>
      <c r="S2" s="125" t="s">
        <v>49</v>
      </c>
      <c r="T2" s="125" t="s">
        <v>50</v>
      </c>
      <c r="U2" s="124" t="s">
        <v>275</v>
      </c>
      <c r="V2" s="44"/>
      <c r="W2" s="44"/>
      <c r="X2" s="44"/>
      <c r="Y2" s="44"/>
      <c r="Z2" s="44"/>
      <c r="AA2" s="44"/>
      <c r="AB2" s="44"/>
    </row>
    <row r="3" spans="1:28" ht="13">
      <c r="A3" s="126" t="s">
        <v>276</v>
      </c>
      <c r="B3" s="32" t="s">
        <v>277</v>
      </c>
      <c r="C3" s="52" t="s">
        <v>278</v>
      </c>
      <c r="D3" s="131" t="s">
        <v>280</v>
      </c>
      <c r="E3" s="44"/>
      <c r="G3" s="44"/>
      <c r="H3" s="132"/>
      <c r="I3" s="133">
        <v>46198</v>
      </c>
      <c r="J3" s="57" t="s">
        <v>284</v>
      </c>
      <c r="K3" s="44"/>
      <c r="L3" s="44"/>
      <c r="M3" s="44"/>
      <c r="N3" s="44"/>
      <c r="O3" s="44"/>
      <c r="P3" s="44"/>
      <c r="Q3" s="87" t="s">
        <v>285</v>
      </c>
      <c r="R3" s="44">
        <v>200000</v>
      </c>
      <c r="S3" s="44">
        <v>8968</v>
      </c>
      <c r="T3" s="44">
        <v>944</v>
      </c>
      <c r="U3" s="44"/>
      <c r="V3" s="44"/>
      <c r="W3" s="44"/>
      <c r="X3" s="44"/>
      <c r="Y3" s="44"/>
      <c r="Z3" s="44"/>
      <c r="AA3" s="44"/>
      <c r="AB3" s="44"/>
    </row>
    <row r="4" spans="1:28" ht="13">
      <c r="A4" s="136" t="s">
        <v>295</v>
      </c>
      <c r="B4" s="135" t="s">
        <v>297</v>
      </c>
      <c r="C4" s="137" t="s">
        <v>298</v>
      </c>
      <c r="D4" s="102" t="s">
        <v>304</v>
      </c>
      <c r="I4" s="133">
        <v>46201</v>
      </c>
      <c r="J4" s="57"/>
      <c r="L4" s="102" t="s">
        <v>314</v>
      </c>
      <c r="M4" s="6">
        <v>8306</v>
      </c>
      <c r="N4" s="6">
        <v>1408</v>
      </c>
      <c r="O4" s="6">
        <v>11</v>
      </c>
      <c r="Q4" s="102" t="s">
        <v>319</v>
      </c>
      <c r="R4" s="6">
        <v>68000</v>
      </c>
      <c r="S4" s="6">
        <v>1503</v>
      </c>
      <c r="T4" s="6">
        <v>11</v>
      </c>
    </row>
    <row r="5" spans="1:28" ht="14">
      <c r="A5" s="140" t="s">
        <v>325</v>
      </c>
      <c r="B5" s="32" t="s">
        <v>327</v>
      </c>
      <c r="E5" s="102" t="s">
        <v>329</v>
      </c>
      <c r="F5" s="6" t="s">
        <v>331</v>
      </c>
      <c r="G5" s="44"/>
      <c r="H5" s="44"/>
      <c r="I5" s="133">
        <v>46198</v>
      </c>
      <c r="J5" s="57" t="s">
        <v>332</v>
      </c>
      <c r="K5" s="28">
        <v>46203</v>
      </c>
      <c r="L5" s="52" t="s">
        <v>333</v>
      </c>
      <c r="M5" s="44"/>
      <c r="N5" s="44">
        <v>1657</v>
      </c>
      <c r="O5" s="44">
        <v>29</v>
      </c>
      <c r="P5" s="44">
        <v>3</v>
      </c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28" ht="14">
      <c r="A6" s="140" t="s">
        <v>336</v>
      </c>
      <c r="B6" s="32" t="s">
        <v>327</v>
      </c>
      <c r="C6" s="6"/>
      <c r="D6" s="6"/>
      <c r="E6" s="144" t="s">
        <v>337</v>
      </c>
      <c r="F6" s="144" t="s">
        <v>341</v>
      </c>
      <c r="G6" s="148" t="s">
        <v>353</v>
      </c>
      <c r="H6" s="52" t="s">
        <v>360</v>
      </c>
      <c r="I6" s="133">
        <v>46198</v>
      </c>
      <c r="J6" s="57" t="s">
        <v>332</v>
      </c>
      <c r="K6" s="28">
        <v>46204</v>
      </c>
      <c r="L6" s="44" t="s">
        <v>361</v>
      </c>
      <c r="M6" s="44">
        <v>153000</v>
      </c>
      <c r="N6" s="44">
        <v>1217</v>
      </c>
      <c r="O6" s="44">
        <v>276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28" ht="13">
      <c r="A7" s="6" t="s">
        <v>364</v>
      </c>
      <c r="B7" s="135" t="s">
        <v>327</v>
      </c>
      <c r="G7" s="102" t="s">
        <v>365</v>
      </c>
      <c r="I7" s="151">
        <v>46212</v>
      </c>
    </row>
    <row r="8" spans="1:28" ht="13">
      <c r="B8" s="135"/>
      <c r="E8" s="6"/>
    </row>
    <row r="9" spans="1:28" ht="13">
      <c r="B9" s="135"/>
      <c r="I9" s="152"/>
      <c r="J9" s="152"/>
    </row>
    <row r="10" spans="1:28" ht="13">
      <c r="B10" s="135"/>
      <c r="I10" s="153"/>
      <c r="J10" s="153"/>
    </row>
  </sheetData>
  <mergeCells count="1">
    <mergeCell ref="A1:AB1"/>
  </mergeCells>
  <phoneticPr fontId="251" type="noConversion"/>
  <hyperlinks>
    <hyperlink ref="C3" r:id="rId1" xr:uid="{00000000-0004-0000-0400-000000000000}"/>
    <hyperlink ref="D3" r:id="rId2" xr:uid="{00000000-0004-0000-0400-000001000000}"/>
    <hyperlink ref="Q3" r:id="rId3" xr:uid="{00000000-0004-0000-0400-000002000000}"/>
    <hyperlink ref="C4" r:id="rId4" xr:uid="{00000000-0004-0000-0400-000003000000}"/>
    <hyperlink ref="D4" r:id="rId5" xr:uid="{00000000-0004-0000-0400-000004000000}"/>
    <hyperlink ref="L4" r:id="rId6" xr:uid="{00000000-0004-0000-0400-000005000000}"/>
    <hyperlink ref="Q4" r:id="rId7" xr:uid="{00000000-0004-0000-0400-000006000000}"/>
    <hyperlink ref="E5" r:id="rId8" xr:uid="{00000000-0004-0000-0400-000007000000}"/>
    <hyperlink ref="L5" r:id="rId9" xr:uid="{00000000-0004-0000-0400-000008000000}"/>
    <hyperlink ref="E6" r:id="rId10" xr:uid="{00000000-0004-0000-0400-000009000000}"/>
    <hyperlink ref="F6" r:id="rId11" xr:uid="{00000000-0004-0000-0400-00000A000000}"/>
    <hyperlink ref="G6" r:id="rId12" xr:uid="{00000000-0004-0000-0400-00000B000000}"/>
    <hyperlink ref="H6" r:id="rId13" xr:uid="{00000000-0004-0000-0400-00000C000000}"/>
    <hyperlink ref="G7" r:id="rId14" xr:uid="{00000000-0004-0000-0400-00000D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24"/>
  <sheetViews>
    <sheetView workbookViewId="0"/>
  </sheetViews>
  <sheetFormatPr baseColWidth="10" defaultColWidth="12.6640625" defaultRowHeight="15.75" customHeight="1"/>
  <cols>
    <col min="1" max="1" width="23" customWidth="1"/>
    <col min="2" max="2" width="16.6640625" customWidth="1"/>
    <col min="3" max="3" width="21.1640625" customWidth="1"/>
    <col min="4" max="4" width="24.5" customWidth="1"/>
    <col min="5" max="5" width="22.33203125" customWidth="1"/>
    <col min="7" max="7" width="38.1640625" customWidth="1"/>
    <col min="12" max="12" width="62.6640625" customWidth="1"/>
  </cols>
  <sheetData>
    <row r="1" spans="1:27" ht="37.5" customHeight="1">
      <c r="A1" s="154" t="s">
        <v>23</v>
      </c>
      <c r="B1" s="155" t="s">
        <v>375</v>
      </c>
      <c r="C1" s="114" t="s">
        <v>376</v>
      </c>
      <c r="D1" s="156" t="s">
        <v>377</v>
      </c>
      <c r="E1" s="156" t="s">
        <v>21</v>
      </c>
      <c r="F1" s="158" t="s">
        <v>378</v>
      </c>
      <c r="G1" s="17" t="s">
        <v>45</v>
      </c>
      <c r="H1" s="17" t="s">
        <v>48</v>
      </c>
      <c r="I1" s="17" t="s">
        <v>49</v>
      </c>
      <c r="J1" s="17" t="s">
        <v>50</v>
      </c>
      <c r="K1" s="17" t="s">
        <v>52</v>
      </c>
      <c r="L1" s="26" t="s">
        <v>61</v>
      </c>
      <c r="M1" s="26" t="s">
        <v>64</v>
      </c>
      <c r="N1" s="26" t="s">
        <v>65</v>
      </c>
      <c r="O1" s="26" t="s">
        <v>66</v>
      </c>
      <c r="P1" s="26" t="s">
        <v>380</v>
      </c>
      <c r="Q1" s="6" t="s">
        <v>275</v>
      </c>
    </row>
    <row r="2" spans="1:27" ht="13">
      <c r="A2" s="104" t="s">
        <v>188</v>
      </c>
      <c r="B2" s="160">
        <f>821073041480</f>
        <v>821073041480</v>
      </c>
      <c r="C2" s="41"/>
      <c r="D2" s="162" t="s">
        <v>383</v>
      </c>
      <c r="E2" s="163">
        <v>46116</v>
      </c>
      <c r="F2" s="164" t="b">
        <v>1</v>
      </c>
      <c r="G2" s="165" t="s">
        <v>194</v>
      </c>
      <c r="H2" s="90">
        <v>311</v>
      </c>
      <c r="I2" s="90">
        <v>6</v>
      </c>
      <c r="J2" s="90">
        <v>0</v>
      </c>
      <c r="K2" s="90">
        <v>1</v>
      </c>
      <c r="L2" s="167" t="s">
        <v>389</v>
      </c>
      <c r="M2" s="90">
        <v>77</v>
      </c>
      <c r="N2" s="90">
        <v>5</v>
      </c>
      <c r="O2" s="90">
        <v>2</v>
      </c>
      <c r="P2" s="90">
        <v>1</v>
      </c>
      <c r="Q2" s="41" t="s">
        <v>392</v>
      </c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ht="13">
      <c r="A3" s="105" t="s">
        <v>195</v>
      </c>
      <c r="B3" s="171">
        <v>821056818868</v>
      </c>
      <c r="C3" s="173" t="s">
        <v>456</v>
      </c>
      <c r="D3" s="174"/>
      <c r="E3" s="176">
        <v>46117</v>
      </c>
      <c r="F3" s="178" t="b">
        <v>1</v>
      </c>
      <c r="G3" s="180" t="s">
        <v>202</v>
      </c>
      <c r="H3" s="89">
        <v>990</v>
      </c>
      <c r="I3" s="90">
        <v>21</v>
      </c>
      <c r="J3" s="41"/>
      <c r="K3" s="41"/>
      <c r="L3" s="138" t="s">
        <v>464</v>
      </c>
      <c r="M3" s="90">
        <v>1757</v>
      </c>
      <c r="N3" s="41"/>
      <c r="O3" s="41">
        <v>4</v>
      </c>
      <c r="P3" s="41"/>
      <c r="Q3" s="41" t="s">
        <v>471</v>
      </c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ht="13">
      <c r="A4" s="107" t="s">
        <v>203</v>
      </c>
      <c r="B4" s="184">
        <v>821024212507</v>
      </c>
      <c r="C4" s="185"/>
      <c r="D4" s="187" t="s">
        <v>481</v>
      </c>
      <c r="E4" s="188">
        <v>46118</v>
      </c>
      <c r="F4" s="164" t="b">
        <v>1</v>
      </c>
      <c r="G4" s="190" t="s">
        <v>209</v>
      </c>
      <c r="H4" s="191">
        <v>418</v>
      </c>
      <c r="I4" s="191">
        <v>22</v>
      </c>
      <c r="J4" s="191">
        <v>6</v>
      </c>
      <c r="K4" s="191">
        <v>2</v>
      </c>
      <c r="L4" s="138" t="s">
        <v>497</v>
      </c>
      <c r="M4" s="191">
        <v>497</v>
      </c>
      <c r="N4" s="191">
        <v>39</v>
      </c>
      <c r="O4" s="195">
        <v>29</v>
      </c>
      <c r="P4" s="41"/>
      <c r="Q4" s="196" t="s">
        <v>508</v>
      </c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 ht="13">
      <c r="A5" s="108" t="s">
        <v>211</v>
      </c>
      <c r="B5" s="197">
        <v>821029986726</v>
      </c>
      <c r="C5" s="198" t="s">
        <v>517</v>
      </c>
      <c r="D5" s="199"/>
      <c r="E5" s="163">
        <v>46118</v>
      </c>
      <c r="F5" s="164" t="b">
        <v>1</v>
      </c>
      <c r="G5" s="202" t="s">
        <v>216</v>
      </c>
      <c r="H5" s="90">
        <v>833</v>
      </c>
      <c r="I5" s="90">
        <v>34</v>
      </c>
      <c r="J5" s="90">
        <v>0</v>
      </c>
      <c r="K5" s="90">
        <v>5</v>
      </c>
      <c r="L5" s="38"/>
      <c r="M5" s="90"/>
      <c r="N5" s="90"/>
      <c r="O5" s="90"/>
      <c r="P5" s="41"/>
      <c r="Q5" s="41" t="s">
        <v>534</v>
      </c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ht="13">
      <c r="A6" s="109" t="s">
        <v>219</v>
      </c>
      <c r="B6" s="184">
        <v>821026554490</v>
      </c>
      <c r="C6" s="207" t="s">
        <v>535</v>
      </c>
      <c r="D6" s="209" t="s">
        <v>537</v>
      </c>
      <c r="E6" s="163">
        <v>46119</v>
      </c>
      <c r="F6" s="39" t="b">
        <v>1</v>
      </c>
      <c r="G6" s="190" t="s">
        <v>224</v>
      </c>
      <c r="H6" s="90">
        <v>538</v>
      </c>
      <c r="I6" s="90">
        <v>27</v>
      </c>
      <c r="J6" s="90">
        <v>3</v>
      </c>
      <c r="K6" s="90">
        <v>8</v>
      </c>
      <c r="L6" s="202" t="s">
        <v>549</v>
      </c>
      <c r="M6" s="90">
        <v>378</v>
      </c>
      <c r="N6" s="90">
        <v>22</v>
      </c>
      <c r="O6" s="90">
        <v>3</v>
      </c>
      <c r="P6" s="41"/>
      <c r="Q6" s="41" t="s">
        <v>552</v>
      </c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ht="13">
      <c r="A7" s="108" t="s">
        <v>554</v>
      </c>
      <c r="B7" s="197">
        <f>821067846312</f>
        <v>821067846312</v>
      </c>
      <c r="C7" s="41"/>
      <c r="D7" s="213" t="s">
        <v>555</v>
      </c>
      <c r="E7" s="163">
        <v>46120</v>
      </c>
      <c r="F7" s="164" t="b">
        <v>1</v>
      </c>
      <c r="G7" s="202" t="s">
        <v>231</v>
      </c>
      <c r="H7" s="90">
        <v>2085</v>
      </c>
      <c r="I7" s="90">
        <v>97</v>
      </c>
      <c r="J7" s="90">
        <v>3</v>
      </c>
      <c r="K7" s="90">
        <v>30</v>
      </c>
      <c r="L7" s="202" t="s">
        <v>558</v>
      </c>
      <c r="M7" s="90">
        <v>1580</v>
      </c>
      <c r="N7" s="90">
        <v>58</v>
      </c>
      <c r="O7" s="90">
        <v>3</v>
      </c>
      <c r="P7" s="41"/>
      <c r="Q7" s="41" t="s">
        <v>392</v>
      </c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ht="13">
      <c r="A8" s="108" t="s">
        <v>234</v>
      </c>
      <c r="B8" s="171">
        <f>821054548810</f>
        <v>821054548810</v>
      </c>
      <c r="C8" s="198" t="s">
        <v>568</v>
      </c>
      <c r="D8" s="199"/>
      <c r="E8" s="163">
        <v>46121</v>
      </c>
      <c r="F8" s="215" t="b">
        <v>1</v>
      </c>
      <c r="G8" s="216" t="s">
        <v>238</v>
      </c>
      <c r="H8" s="89">
        <v>2205</v>
      </c>
      <c r="I8" s="90">
        <v>61</v>
      </c>
      <c r="J8" s="90">
        <v>1</v>
      </c>
      <c r="K8" s="90">
        <v>31</v>
      </c>
      <c r="L8" s="41"/>
      <c r="M8" s="41"/>
      <c r="N8" s="41"/>
      <c r="O8" s="41"/>
      <c r="P8" s="41"/>
      <c r="Q8" s="41" t="s">
        <v>582</v>
      </c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ht="13">
      <c r="A9" s="104" t="s">
        <v>239</v>
      </c>
      <c r="B9" s="217" t="s">
        <v>584</v>
      </c>
      <c r="C9" s="219" t="s">
        <v>585</v>
      </c>
      <c r="D9" s="219" t="s">
        <v>588</v>
      </c>
      <c r="E9" s="224">
        <v>46122</v>
      </c>
      <c r="F9" s="39" t="b">
        <v>1</v>
      </c>
      <c r="G9" s="226" t="s">
        <v>244</v>
      </c>
      <c r="H9" s="41">
        <v>307</v>
      </c>
      <c r="I9" s="41">
        <v>16</v>
      </c>
      <c r="J9" s="41">
        <v>1</v>
      </c>
      <c r="K9" s="41">
        <v>2</v>
      </c>
      <c r="L9" s="167" t="s">
        <v>593</v>
      </c>
      <c r="M9" s="41">
        <v>574</v>
      </c>
      <c r="N9" s="41">
        <v>31</v>
      </c>
      <c r="O9" s="41">
        <v>6</v>
      </c>
      <c r="P9" s="41">
        <v>1</v>
      </c>
      <c r="Q9" s="41" t="s">
        <v>594</v>
      </c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ht="13">
      <c r="A10" s="111" t="s">
        <v>245</v>
      </c>
      <c r="B10" s="228">
        <v>821089393794</v>
      </c>
      <c r="C10" s="229" t="s">
        <v>595</v>
      </c>
      <c r="D10" s="230" t="s">
        <v>597</v>
      </c>
      <c r="E10" s="231">
        <v>46123</v>
      </c>
      <c r="F10" s="232" t="b">
        <v>1</v>
      </c>
      <c r="G10" s="234" t="s">
        <v>250</v>
      </c>
      <c r="H10" s="90">
        <v>979</v>
      </c>
      <c r="I10" s="90">
        <v>58</v>
      </c>
      <c r="J10" s="90">
        <v>3</v>
      </c>
      <c r="K10" s="90">
        <v>1</v>
      </c>
      <c r="L10" s="138" t="s">
        <v>603</v>
      </c>
      <c r="M10" s="90">
        <v>2413</v>
      </c>
      <c r="N10" s="41"/>
      <c r="O10" s="41"/>
      <c r="P10" s="41"/>
      <c r="Q10" s="41" t="s">
        <v>604</v>
      </c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ht="13">
      <c r="A11" s="115" t="s">
        <v>606</v>
      </c>
      <c r="B11" s="179" t="s">
        <v>607</v>
      </c>
      <c r="C11" s="240" t="s">
        <v>609</v>
      </c>
      <c r="D11" s="241"/>
      <c r="E11" s="242">
        <v>46124</v>
      </c>
      <c r="F11" s="215" t="b">
        <v>1</v>
      </c>
      <c r="G11" s="245" t="s">
        <v>265</v>
      </c>
      <c r="H11" s="90">
        <v>284</v>
      </c>
      <c r="I11" s="90">
        <v>7</v>
      </c>
      <c r="J11" s="90">
        <v>0</v>
      </c>
      <c r="K11" s="90">
        <v>0</v>
      </c>
      <c r="L11" s="138" t="s">
        <v>611</v>
      </c>
      <c r="M11" s="90">
        <v>285</v>
      </c>
      <c r="N11" s="41">
        <v>24</v>
      </c>
      <c r="O11" s="41">
        <v>1</v>
      </c>
      <c r="P11" s="41">
        <v>2</v>
      </c>
      <c r="Q11" s="41" t="s">
        <v>392</v>
      </c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ht="13">
      <c r="A12" s="134" t="s">
        <v>288</v>
      </c>
      <c r="B12" s="246" t="s">
        <v>614</v>
      </c>
      <c r="C12" s="207" t="s">
        <v>615</v>
      </c>
      <c r="D12" s="247" t="s">
        <v>618</v>
      </c>
      <c r="E12" s="248">
        <v>46143</v>
      </c>
      <c r="F12" s="164" t="b">
        <v>1</v>
      </c>
      <c r="G12" s="249" t="s">
        <v>293</v>
      </c>
      <c r="H12" s="38">
        <v>339</v>
      </c>
      <c r="I12" s="38">
        <v>18</v>
      </c>
      <c r="J12" s="38">
        <v>5</v>
      </c>
      <c r="K12" s="38">
        <v>0</v>
      </c>
      <c r="L12" s="250" t="s">
        <v>621</v>
      </c>
      <c r="M12" s="38">
        <v>524</v>
      </c>
      <c r="N12" s="38">
        <v>25</v>
      </c>
      <c r="O12" s="38">
        <v>1</v>
      </c>
      <c r="P12" s="38"/>
      <c r="Q12" s="38" t="s">
        <v>392</v>
      </c>
      <c r="R12" s="38"/>
    </row>
    <row r="13" spans="1:27" ht="13">
      <c r="A13" s="134" t="s">
        <v>299</v>
      </c>
      <c r="B13" s="134" t="s">
        <v>624</v>
      </c>
      <c r="C13" s="251" t="s">
        <v>626</v>
      </c>
      <c r="D13" s="252" t="s">
        <v>628</v>
      </c>
      <c r="E13" s="254">
        <v>46146</v>
      </c>
      <c r="F13" s="39" t="b">
        <v>1</v>
      </c>
      <c r="G13" s="257" t="s">
        <v>303</v>
      </c>
      <c r="H13" s="38">
        <v>1047</v>
      </c>
      <c r="I13" s="38">
        <v>27</v>
      </c>
      <c r="J13" s="38">
        <v>0</v>
      </c>
      <c r="K13" s="38">
        <v>21</v>
      </c>
      <c r="L13" s="258" t="s">
        <v>634</v>
      </c>
      <c r="M13" s="38">
        <v>1133</v>
      </c>
      <c r="N13" s="38">
        <v>32</v>
      </c>
      <c r="O13" s="38">
        <v>6</v>
      </c>
      <c r="P13" s="38"/>
      <c r="Q13" s="38" t="s">
        <v>635</v>
      </c>
      <c r="R13" s="38"/>
    </row>
    <row r="14" spans="1:27" ht="13">
      <c r="A14" s="139" t="s">
        <v>636</v>
      </c>
      <c r="B14" s="260" t="s">
        <v>637</v>
      </c>
      <c r="C14" s="263" t="s">
        <v>638</v>
      </c>
      <c r="D14" s="264" t="s">
        <v>640</v>
      </c>
      <c r="E14" s="265">
        <v>46149</v>
      </c>
      <c r="F14" s="232" t="b">
        <v>1</v>
      </c>
      <c r="G14" s="249" t="s">
        <v>313</v>
      </c>
      <c r="H14" s="38">
        <v>1039</v>
      </c>
      <c r="I14" s="38">
        <v>42</v>
      </c>
      <c r="J14" s="38"/>
      <c r="K14" s="38">
        <v>10</v>
      </c>
      <c r="L14" s="250" t="s">
        <v>644</v>
      </c>
      <c r="M14" s="38">
        <v>1575</v>
      </c>
      <c r="N14" s="38">
        <v>134</v>
      </c>
      <c r="O14" s="38">
        <v>88</v>
      </c>
      <c r="P14" s="38"/>
      <c r="Q14" s="38"/>
      <c r="R14" s="38"/>
    </row>
    <row r="15" spans="1:27" ht="13">
      <c r="A15" s="6" t="s">
        <v>323</v>
      </c>
      <c r="B15" s="134" t="s">
        <v>646</v>
      </c>
      <c r="C15" s="267"/>
      <c r="D15" s="268" t="s">
        <v>647</v>
      </c>
      <c r="E15" s="269">
        <v>46162</v>
      </c>
      <c r="F15" s="232" t="b">
        <v>1</v>
      </c>
      <c r="G15" s="270"/>
      <c r="I15" s="38"/>
      <c r="J15" s="38"/>
      <c r="K15" s="38"/>
      <c r="L15" s="138" t="s">
        <v>328</v>
      </c>
      <c r="M15" s="38">
        <v>1129</v>
      </c>
      <c r="N15" s="38"/>
      <c r="O15" s="38"/>
      <c r="P15" s="38"/>
      <c r="Q15" s="38"/>
      <c r="R15" s="38"/>
    </row>
    <row r="16" spans="1:27" ht="13">
      <c r="A16" s="6" t="s">
        <v>315</v>
      </c>
      <c r="B16" s="271" t="s">
        <v>648</v>
      </c>
      <c r="C16" s="273" t="s">
        <v>649</v>
      </c>
      <c r="D16" s="275" t="s">
        <v>655</v>
      </c>
      <c r="E16" s="276" t="s">
        <v>657</v>
      </c>
      <c r="F16" s="232" t="b">
        <v>1</v>
      </c>
      <c r="G16" s="216" t="s">
        <v>320</v>
      </c>
      <c r="H16" s="38">
        <v>2068</v>
      </c>
      <c r="I16" s="6" t="s">
        <v>392</v>
      </c>
      <c r="J16" s="6" t="s">
        <v>392</v>
      </c>
      <c r="K16" s="6" t="s">
        <v>392</v>
      </c>
      <c r="L16" s="278" t="s">
        <v>328</v>
      </c>
      <c r="M16" s="57">
        <v>740</v>
      </c>
    </row>
    <row r="17" spans="10:15" ht="13">
      <c r="L17" s="279"/>
      <c r="M17" s="6">
        <v>796</v>
      </c>
      <c r="N17" s="6">
        <v>24</v>
      </c>
      <c r="O17" s="6">
        <v>2</v>
      </c>
    </row>
    <row r="24" spans="10:15" ht="13">
      <c r="J24" s="6">
        <v>13400</v>
      </c>
    </row>
  </sheetData>
  <autoFilter ref="A1:H16" xr:uid="{00000000-0009-0000-0000-000005000000}"/>
  <phoneticPr fontId="251" type="noConversion"/>
  <hyperlinks>
    <hyperlink ref="D2" r:id="rId1" xr:uid="{00000000-0004-0000-0500-000000000000}"/>
    <hyperlink ref="G2" r:id="rId2" xr:uid="{00000000-0004-0000-0500-000001000000}"/>
    <hyperlink ref="L2" r:id="rId3" xr:uid="{00000000-0004-0000-0500-000002000000}"/>
    <hyperlink ref="C3" r:id="rId4" xr:uid="{00000000-0004-0000-0500-000003000000}"/>
    <hyperlink ref="G3" r:id="rId5" xr:uid="{00000000-0004-0000-0500-000004000000}"/>
    <hyperlink ref="L3" r:id="rId6" xr:uid="{00000000-0004-0000-0500-000005000000}"/>
    <hyperlink ref="D4" r:id="rId7" xr:uid="{00000000-0004-0000-0500-000006000000}"/>
    <hyperlink ref="G4" r:id="rId8" xr:uid="{00000000-0004-0000-0500-000007000000}"/>
    <hyperlink ref="L4" r:id="rId9" xr:uid="{00000000-0004-0000-0500-000008000000}"/>
    <hyperlink ref="C5" r:id="rId10" xr:uid="{00000000-0004-0000-0500-000009000000}"/>
    <hyperlink ref="G5" r:id="rId11" xr:uid="{00000000-0004-0000-0500-00000A000000}"/>
    <hyperlink ref="C6" r:id="rId12" xr:uid="{00000000-0004-0000-0500-00000B000000}"/>
    <hyperlink ref="D6" r:id="rId13" xr:uid="{00000000-0004-0000-0500-00000C000000}"/>
    <hyperlink ref="G6" r:id="rId14" xr:uid="{00000000-0004-0000-0500-00000D000000}"/>
    <hyperlink ref="L6" r:id="rId15" xr:uid="{00000000-0004-0000-0500-00000E000000}"/>
    <hyperlink ref="D7" r:id="rId16" xr:uid="{00000000-0004-0000-0500-00000F000000}"/>
    <hyperlink ref="G7" r:id="rId17" xr:uid="{00000000-0004-0000-0500-000010000000}"/>
    <hyperlink ref="L7" r:id="rId18" xr:uid="{00000000-0004-0000-0500-000011000000}"/>
    <hyperlink ref="C8" r:id="rId19" xr:uid="{00000000-0004-0000-0500-000012000000}"/>
    <hyperlink ref="G8" r:id="rId20" xr:uid="{00000000-0004-0000-0500-000013000000}"/>
    <hyperlink ref="C9" r:id="rId21" xr:uid="{00000000-0004-0000-0500-000014000000}"/>
    <hyperlink ref="D9" r:id="rId22" xr:uid="{00000000-0004-0000-0500-000015000000}"/>
    <hyperlink ref="G9" r:id="rId23" xr:uid="{00000000-0004-0000-0500-000016000000}"/>
    <hyperlink ref="L9" r:id="rId24" xr:uid="{00000000-0004-0000-0500-000017000000}"/>
    <hyperlink ref="C10" r:id="rId25" xr:uid="{00000000-0004-0000-0500-000018000000}"/>
    <hyperlink ref="D10" r:id="rId26" xr:uid="{00000000-0004-0000-0500-000019000000}"/>
    <hyperlink ref="G10" r:id="rId27" xr:uid="{00000000-0004-0000-0500-00001A000000}"/>
    <hyperlink ref="L10" r:id="rId28" xr:uid="{00000000-0004-0000-0500-00001B000000}"/>
    <hyperlink ref="C11" r:id="rId29" xr:uid="{00000000-0004-0000-0500-00001C000000}"/>
    <hyperlink ref="G11" r:id="rId30" xr:uid="{00000000-0004-0000-0500-00001D000000}"/>
    <hyperlink ref="L11" r:id="rId31" xr:uid="{00000000-0004-0000-0500-00001E000000}"/>
    <hyperlink ref="C12" r:id="rId32" xr:uid="{00000000-0004-0000-0500-00001F000000}"/>
    <hyperlink ref="D12" r:id="rId33" xr:uid="{00000000-0004-0000-0500-000020000000}"/>
    <hyperlink ref="G12" r:id="rId34" xr:uid="{00000000-0004-0000-0500-000021000000}"/>
    <hyperlink ref="L12" r:id="rId35" xr:uid="{00000000-0004-0000-0500-000022000000}"/>
    <hyperlink ref="C13" r:id="rId36" xr:uid="{00000000-0004-0000-0500-000023000000}"/>
    <hyperlink ref="D13" r:id="rId37" xr:uid="{00000000-0004-0000-0500-000024000000}"/>
    <hyperlink ref="G13" r:id="rId38" xr:uid="{00000000-0004-0000-0500-000025000000}"/>
    <hyperlink ref="L13" r:id="rId39" xr:uid="{00000000-0004-0000-0500-000026000000}"/>
    <hyperlink ref="C14" r:id="rId40" xr:uid="{00000000-0004-0000-0500-000027000000}"/>
    <hyperlink ref="D14" r:id="rId41" xr:uid="{00000000-0004-0000-0500-000028000000}"/>
    <hyperlink ref="G14" r:id="rId42" xr:uid="{00000000-0004-0000-0500-000029000000}"/>
    <hyperlink ref="L14" r:id="rId43" xr:uid="{00000000-0004-0000-0500-00002A000000}"/>
    <hyperlink ref="D15" r:id="rId44" xr:uid="{00000000-0004-0000-0500-00002B000000}"/>
    <hyperlink ref="L15" r:id="rId45" xr:uid="{00000000-0004-0000-0500-00002C000000}"/>
    <hyperlink ref="C16" r:id="rId46" xr:uid="{00000000-0004-0000-0500-00002D000000}"/>
    <hyperlink ref="D16" r:id="rId47" xr:uid="{00000000-0004-0000-0500-00002E000000}"/>
    <hyperlink ref="G16" r:id="rId48" xr:uid="{00000000-0004-0000-0500-00002F000000}"/>
    <hyperlink ref="L16" r:id="rId49" xr:uid="{00000000-0004-0000-0500-000030000000}"/>
  </hyperlinks>
  <pageMargins left="0.7" right="0.7" top="0.75" bottom="0.75" header="0.3" footer="0.3"/>
  <tableParts count="1">
    <tablePart r:id="rId5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27"/>
  <sheetViews>
    <sheetView workbookViewId="0"/>
  </sheetViews>
  <sheetFormatPr baseColWidth="10" defaultColWidth="12.6640625" defaultRowHeight="15.75" customHeight="1"/>
  <cols>
    <col min="1" max="1" width="24.33203125" customWidth="1"/>
    <col min="2" max="2" width="20.33203125" customWidth="1"/>
    <col min="3" max="3" width="28.83203125" customWidth="1"/>
    <col min="4" max="4" width="33.1640625" customWidth="1"/>
    <col min="5" max="5" width="17.5" customWidth="1"/>
    <col min="6" max="6" width="13.83203125" customWidth="1"/>
    <col min="7" max="7" width="26.83203125" customWidth="1"/>
    <col min="8" max="8" width="8.83203125" customWidth="1"/>
    <col min="9" max="9" width="9.6640625" customWidth="1"/>
    <col min="10" max="10" width="10.6640625" customWidth="1"/>
    <col min="11" max="11" width="11.1640625" customWidth="1"/>
    <col min="12" max="12" width="17.6640625" customWidth="1"/>
    <col min="13" max="13" width="12.5" customWidth="1"/>
    <col min="14" max="14" width="12" customWidth="1"/>
    <col min="15" max="15" width="14.6640625" customWidth="1"/>
    <col min="16" max="28" width="60.6640625" customWidth="1"/>
  </cols>
  <sheetData>
    <row r="1" spans="1:28" ht="37.5" customHeight="1">
      <c r="A1" s="154" t="s">
        <v>673</v>
      </c>
      <c r="B1" s="155" t="s">
        <v>375</v>
      </c>
      <c r="C1" s="114" t="s">
        <v>376</v>
      </c>
      <c r="D1" s="156" t="s">
        <v>377</v>
      </c>
      <c r="E1" s="156" t="s">
        <v>21</v>
      </c>
      <c r="F1" s="158" t="s">
        <v>378</v>
      </c>
      <c r="G1" s="17" t="s">
        <v>45</v>
      </c>
      <c r="H1" s="17" t="s">
        <v>48</v>
      </c>
      <c r="I1" s="17" t="s">
        <v>49</v>
      </c>
      <c r="J1" s="17" t="s">
        <v>50</v>
      </c>
      <c r="K1" s="17" t="s">
        <v>52</v>
      </c>
      <c r="L1" s="26" t="s">
        <v>61</v>
      </c>
      <c r="M1" s="26" t="s">
        <v>64</v>
      </c>
      <c r="N1" s="26" t="s">
        <v>65</v>
      </c>
      <c r="O1" s="26" t="s">
        <v>66</v>
      </c>
      <c r="P1" s="6" t="s">
        <v>275</v>
      </c>
    </row>
    <row r="2" spans="1:28" ht="16.5" customHeight="1">
      <c r="A2" s="289" t="s">
        <v>393</v>
      </c>
      <c r="B2" s="290">
        <v>821096152410</v>
      </c>
      <c r="C2" s="292" t="s">
        <v>677</v>
      </c>
      <c r="D2" s="293"/>
      <c r="E2" s="294">
        <v>46109</v>
      </c>
      <c r="F2" s="293" t="b">
        <v>1</v>
      </c>
      <c r="G2" s="193" t="s">
        <v>399</v>
      </c>
      <c r="H2" s="295">
        <v>1766</v>
      </c>
      <c r="I2" s="295">
        <v>55</v>
      </c>
      <c r="J2" s="295">
        <v>6</v>
      </c>
      <c r="K2" s="295">
        <v>15</v>
      </c>
      <c r="L2" s="183"/>
      <c r="M2" s="183" t="s">
        <v>392</v>
      </c>
      <c r="N2" s="183" t="s">
        <v>392</v>
      </c>
      <c r="O2" s="298" t="s">
        <v>392</v>
      </c>
      <c r="P2" s="41" t="s">
        <v>392</v>
      </c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ht="13">
      <c r="A3" s="104" t="s">
        <v>682</v>
      </c>
      <c r="B3" s="175">
        <v>1067976527</v>
      </c>
      <c r="C3" s="183"/>
      <c r="D3" s="263" t="s">
        <v>683</v>
      </c>
      <c r="E3" s="294">
        <v>46109</v>
      </c>
      <c r="F3" s="41" t="b">
        <v>1</v>
      </c>
      <c r="G3" s="299" t="s">
        <v>404</v>
      </c>
      <c r="H3" s="41" t="s">
        <v>392</v>
      </c>
      <c r="I3" s="41" t="s">
        <v>392</v>
      </c>
      <c r="J3" s="41" t="s">
        <v>392</v>
      </c>
      <c r="K3" s="41" t="s">
        <v>392</v>
      </c>
      <c r="L3" s="202" t="s">
        <v>689</v>
      </c>
      <c r="M3" s="90">
        <v>1156</v>
      </c>
      <c r="N3" s="90">
        <v>25</v>
      </c>
      <c r="O3" s="90">
        <v>0</v>
      </c>
      <c r="P3" s="41" t="s">
        <v>690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28" ht="13">
      <c r="A4" s="301" t="s">
        <v>405</v>
      </c>
      <c r="B4" s="175">
        <v>1077479556</v>
      </c>
      <c r="C4" s="263" t="s">
        <v>691</v>
      </c>
      <c r="D4" s="183"/>
      <c r="E4" s="294">
        <v>46109</v>
      </c>
      <c r="F4" s="41" t="b">
        <v>1</v>
      </c>
      <c r="G4" s="202" t="s">
        <v>409</v>
      </c>
      <c r="H4" s="90">
        <v>305</v>
      </c>
      <c r="I4" s="90">
        <v>9</v>
      </c>
      <c r="J4" s="90">
        <v>2</v>
      </c>
      <c r="K4" s="90">
        <v>1</v>
      </c>
      <c r="L4" s="137" t="s">
        <v>697</v>
      </c>
      <c r="M4" s="90">
        <v>513</v>
      </c>
      <c r="N4" s="41"/>
      <c r="O4" s="41"/>
      <c r="P4" s="41" t="s">
        <v>699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13">
      <c r="A5" s="301" t="s">
        <v>410</v>
      </c>
      <c r="B5" s="175">
        <v>1030227630</v>
      </c>
      <c r="C5" s="263" t="s">
        <v>700</v>
      </c>
      <c r="D5" s="183"/>
      <c r="E5" s="306">
        <v>46109</v>
      </c>
      <c r="F5" s="307" t="b">
        <v>1</v>
      </c>
      <c r="G5" s="137" t="s">
        <v>415</v>
      </c>
      <c r="H5" s="310">
        <v>2902</v>
      </c>
      <c r="I5" s="310">
        <v>96</v>
      </c>
      <c r="J5" s="90">
        <v>2</v>
      </c>
      <c r="K5" s="90">
        <v>44</v>
      </c>
      <c r="L5" s="41"/>
      <c r="M5" s="41" t="s">
        <v>392</v>
      </c>
      <c r="N5" s="41" t="s">
        <v>392</v>
      </c>
      <c r="O5" s="41" t="s">
        <v>392</v>
      </c>
      <c r="P5" s="41" t="s">
        <v>715</v>
      </c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8" ht="13">
      <c r="A6" s="107" t="s">
        <v>416</v>
      </c>
      <c r="B6" s="312">
        <v>2183680751</v>
      </c>
      <c r="C6" s="207" t="s">
        <v>716</v>
      </c>
      <c r="D6" s="207" t="s">
        <v>719</v>
      </c>
      <c r="E6" s="163">
        <v>46110</v>
      </c>
      <c r="F6" s="41" t="b">
        <v>1</v>
      </c>
      <c r="G6" s="202" t="s">
        <v>421</v>
      </c>
      <c r="H6" s="90">
        <v>2216</v>
      </c>
      <c r="I6" s="90">
        <v>113</v>
      </c>
      <c r="J6" s="90">
        <v>5</v>
      </c>
      <c r="K6" s="90">
        <v>57</v>
      </c>
      <c r="L6" s="41"/>
      <c r="M6" s="41" t="s">
        <v>392</v>
      </c>
      <c r="N6" s="41" t="s">
        <v>392</v>
      </c>
      <c r="O6" s="41" t="s">
        <v>392</v>
      </c>
      <c r="P6" s="41" t="s">
        <v>726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28" ht="13">
      <c r="A7" s="108" t="s">
        <v>728</v>
      </c>
      <c r="B7" s="89">
        <v>1092946599</v>
      </c>
      <c r="C7" s="41"/>
      <c r="D7" s="198" t="s">
        <v>729</v>
      </c>
      <c r="E7" s="324">
        <v>46111</v>
      </c>
      <c r="F7" s="41" t="b">
        <v>1</v>
      </c>
      <c r="G7" s="202" t="s">
        <v>427</v>
      </c>
      <c r="H7" s="90">
        <v>151</v>
      </c>
      <c r="I7" s="90">
        <v>3</v>
      </c>
      <c r="J7" s="90">
        <v>0</v>
      </c>
      <c r="K7" s="90">
        <v>1</v>
      </c>
      <c r="L7" s="137" t="s">
        <v>732</v>
      </c>
      <c r="M7" s="90">
        <v>8271</v>
      </c>
      <c r="N7" s="90">
        <v>748</v>
      </c>
      <c r="O7" s="90">
        <v>7</v>
      </c>
      <c r="P7" s="41" t="s">
        <v>737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8" ht="13">
      <c r="A8" s="108" t="s">
        <v>428</v>
      </c>
      <c r="B8" s="89" t="s">
        <v>738</v>
      </c>
      <c r="C8" s="198" t="s">
        <v>740</v>
      </c>
      <c r="D8" s="198" t="s">
        <v>741</v>
      </c>
      <c r="E8" s="324">
        <v>46112</v>
      </c>
      <c r="F8" s="41" t="b">
        <v>1</v>
      </c>
      <c r="G8" s="167" t="s">
        <v>431</v>
      </c>
      <c r="H8" s="41">
        <v>309</v>
      </c>
      <c r="I8" s="41">
        <v>12</v>
      </c>
      <c r="J8" s="41">
        <v>0</v>
      </c>
      <c r="K8" s="41">
        <v>3</v>
      </c>
      <c r="L8" s="167" t="s">
        <v>746</v>
      </c>
      <c r="M8" s="41">
        <v>30000</v>
      </c>
      <c r="N8" s="41">
        <v>1</v>
      </c>
      <c r="O8" s="41">
        <v>2</v>
      </c>
      <c r="P8" s="41" t="s">
        <v>392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ht="13">
      <c r="A9" s="301" t="s">
        <v>434</v>
      </c>
      <c r="B9" s="175">
        <v>1079370772</v>
      </c>
      <c r="C9" s="263" t="s">
        <v>748</v>
      </c>
      <c r="D9" s="263" t="s">
        <v>751</v>
      </c>
      <c r="E9" s="188">
        <v>46115</v>
      </c>
      <c r="F9" s="41" t="b">
        <v>1</v>
      </c>
      <c r="G9" s="202" t="s">
        <v>437</v>
      </c>
      <c r="H9" s="41">
        <v>719</v>
      </c>
      <c r="I9" s="90">
        <v>55</v>
      </c>
      <c r="J9" s="90">
        <v>11</v>
      </c>
      <c r="K9" s="90">
        <v>3</v>
      </c>
      <c r="L9" s="41"/>
      <c r="M9" s="41"/>
      <c r="N9" s="41"/>
      <c r="O9" s="41"/>
      <c r="P9" s="41" t="s">
        <v>752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spans="1:28" ht="13">
      <c r="A10" s="301" t="s">
        <v>438</v>
      </c>
      <c r="B10" s="175">
        <v>1095946760</v>
      </c>
      <c r="C10" s="330" t="s">
        <v>754</v>
      </c>
      <c r="D10" s="183"/>
      <c r="E10" s="324">
        <v>46116</v>
      </c>
      <c r="F10" s="41" t="b">
        <v>1</v>
      </c>
      <c r="G10" s="167" t="s">
        <v>443</v>
      </c>
      <c r="H10" s="41">
        <v>421</v>
      </c>
      <c r="I10" s="41">
        <v>13</v>
      </c>
      <c r="J10" s="41">
        <v>1</v>
      </c>
      <c r="K10" s="41"/>
      <c r="L10" s="167" t="s">
        <v>755</v>
      </c>
      <c r="M10" s="41">
        <v>292</v>
      </c>
      <c r="N10" s="41">
        <v>13</v>
      </c>
      <c r="O10" s="41">
        <v>2</v>
      </c>
      <c r="P10" s="41" t="s">
        <v>392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28" ht="13">
      <c r="A11" s="179" t="s">
        <v>445</v>
      </c>
      <c r="B11" s="89">
        <v>1044682869</v>
      </c>
      <c r="C11" s="198" t="s">
        <v>759</v>
      </c>
      <c r="D11" s="198"/>
      <c r="E11" s="331">
        <v>46117</v>
      </c>
      <c r="F11" s="41" t="b">
        <v>1</v>
      </c>
      <c r="G11" s="202" t="s">
        <v>448</v>
      </c>
      <c r="H11" s="165">
        <v>942</v>
      </c>
      <c r="I11" s="41">
        <v>77</v>
      </c>
      <c r="J11" s="165">
        <v>2</v>
      </c>
      <c r="K11" s="202"/>
      <c r="L11" s="202" t="s">
        <v>766</v>
      </c>
      <c r="M11" s="41">
        <v>2306</v>
      </c>
      <c r="N11" s="41">
        <v>82</v>
      </c>
      <c r="O11" s="165">
        <v>3</v>
      </c>
      <c r="P11" s="113" t="s">
        <v>768</v>
      </c>
      <c r="Q11" s="41"/>
      <c r="R11" s="41"/>
      <c r="S11" s="41" t="s">
        <v>768</v>
      </c>
      <c r="T11" s="41"/>
      <c r="U11" s="41"/>
      <c r="V11" s="41"/>
      <c r="W11" s="41"/>
      <c r="X11" s="41"/>
      <c r="Y11" s="41"/>
      <c r="Z11" s="41"/>
      <c r="AA11" s="41"/>
      <c r="AB11" s="41"/>
    </row>
    <row r="12" spans="1:28" ht="13">
      <c r="A12" s="134" t="s">
        <v>449</v>
      </c>
      <c r="B12" s="312" t="s">
        <v>769</v>
      </c>
      <c r="C12" s="334" t="s">
        <v>770</v>
      </c>
      <c r="D12" s="334" t="s">
        <v>771</v>
      </c>
      <c r="E12" s="324">
        <v>46141</v>
      </c>
      <c r="F12" s="41" t="b">
        <v>1</v>
      </c>
      <c r="G12" s="167" t="s">
        <v>453</v>
      </c>
      <c r="H12" s="41">
        <v>9070</v>
      </c>
      <c r="I12" s="41">
        <v>839</v>
      </c>
      <c r="J12" s="41">
        <v>5</v>
      </c>
      <c r="K12" s="41">
        <v>29</v>
      </c>
      <c r="L12" s="41"/>
      <c r="M12" s="41" t="s">
        <v>392</v>
      </c>
      <c r="N12" s="41" t="s">
        <v>392</v>
      </c>
      <c r="O12" s="41" t="s">
        <v>392</v>
      </c>
      <c r="P12" s="41" t="s">
        <v>392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28" ht="13">
      <c r="A13" s="139" t="s">
        <v>454</v>
      </c>
      <c r="B13" s="338" t="s">
        <v>776</v>
      </c>
      <c r="C13" s="339" t="s">
        <v>777</v>
      </c>
      <c r="D13" s="340" t="s">
        <v>781</v>
      </c>
      <c r="E13" s="341">
        <v>46142</v>
      </c>
      <c r="F13" s="41" t="b">
        <v>1</v>
      </c>
      <c r="G13" s="167" t="s">
        <v>459</v>
      </c>
      <c r="H13" s="41">
        <v>505</v>
      </c>
      <c r="I13" s="41">
        <v>40</v>
      </c>
      <c r="J13" s="41">
        <v>6</v>
      </c>
      <c r="K13" s="41"/>
      <c r="L13" s="167" t="s">
        <v>784</v>
      </c>
      <c r="M13" s="41">
        <v>605</v>
      </c>
      <c r="N13" s="41">
        <v>27</v>
      </c>
      <c r="O13" s="41">
        <v>2</v>
      </c>
      <c r="P13" s="41" t="s">
        <v>392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28" ht="13">
      <c r="A14" s="343" t="s">
        <v>466</v>
      </c>
      <c r="B14" s="344" t="s">
        <v>785</v>
      </c>
      <c r="C14" s="343"/>
      <c r="D14" s="345" t="s">
        <v>787</v>
      </c>
      <c r="E14" s="347">
        <v>46143</v>
      </c>
      <c r="F14" s="41" t="b">
        <v>1</v>
      </c>
      <c r="G14" s="39"/>
      <c r="H14" s="39" t="s">
        <v>392</v>
      </c>
      <c r="I14" s="39" t="s">
        <v>392</v>
      </c>
      <c r="J14" s="39" t="s">
        <v>392</v>
      </c>
      <c r="K14" s="39" t="s">
        <v>392</v>
      </c>
      <c r="L14" s="350" t="s">
        <v>470</v>
      </c>
      <c r="M14" s="41">
        <v>828</v>
      </c>
      <c r="N14" s="41">
        <v>32</v>
      </c>
      <c r="O14" s="41">
        <v>0</v>
      </c>
      <c r="P14" s="41" t="s">
        <v>392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ht="13">
      <c r="A15" s="351" t="s">
        <v>790</v>
      </c>
      <c r="B15" s="351">
        <v>1065355755</v>
      </c>
      <c r="C15" s="268" t="s">
        <v>791</v>
      </c>
      <c r="D15" s="354" t="s">
        <v>792</v>
      </c>
      <c r="E15" s="353" t="s">
        <v>793</v>
      </c>
      <c r="F15" s="41" t="b">
        <v>1</v>
      </c>
      <c r="G15" s="350" t="s">
        <v>476</v>
      </c>
      <c r="H15" s="41">
        <v>302</v>
      </c>
      <c r="I15" s="41">
        <v>12</v>
      </c>
      <c r="J15" s="41"/>
      <c r="K15" s="41"/>
      <c r="L15" s="350" t="s">
        <v>794</v>
      </c>
      <c r="M15" s="41">
        <v>598</v>
      </c>
      <c r="N15" s="41">
        <v>14</v>
      </c>
      <c r="O15" s="41">
        <v>4</v>
      </c>
      <c r="P15" s="41" t="s">
        <v>797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ht="13">
      <c r="A16" s="179" t="s">
        <v>477</v>
      </c>
      <c r="B16" s="89" t="s">
        <v>798</v>
      </c>
      <c r="C16" s="334" t="s">
        <v>799</v>
      </c>
      <c r="D16" s="334" t="s">
        <v>800</v>
      </c>
      <c r="E16" s="353" t="s">
        <v>801</v>
      </c>
      <c r="F16" s="41" t="b">
        <v>1</v>
      </c>
      <c r="G16" s="167" t="s">
        <v>482</v>
      </c>
      <c r="H16" s="41">
        <v>286</v>
      </c>
      <c r="I16" s="41">
        <v>6</v>
      </c>
      <c r="J16" s="41"/>
      <c r="K16" s="41"/>
      <c r="L16" s="167" t="s">
        <v>802</v>
      </c>
      <c r="M16" s="41">
        <v>392</v>
      </c>
      <c r="N16" s="41">
        <v>11</v>
      </c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ht="13">
      <c r="A17" s="351"/>
      <c r="B17" s="351"/>
      <c r="C17" s="361"/>
      <c r="D17" s="361"/>
      <c r="E17" s="324"/>
      <c r="F17" s="41" t="b">
        <v>0</v>
      </c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ht="13">
      <c r="A18" s="179"/>
      <c r="B18" s="179"/>
      <c r="C18" s="362"/>
      <c r="D18" s="362"/>
      <c r="E18" s="324"/>
      <c r="F18" s="41" t="b">
        <v>0</v>
      </c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ht="13">
      <c r="A19" s="351"/>
      <c r="B19" s="351"/>
      <c r="C19" s="361"/>
      <c r="D19" s="361"/>
      <c r="E19" s="324"/>
      <c r="F19" s="41" t="b">
        <v>0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ht="13">
      <c r="A20" s="179"/>
      <c r="B20" s="179"/>
      <c r="C20" s="362"/>
      <c r="D20" s="362"/>
      <c r="E20" s="324"/>
      <c r="F20" s="41" t="b">
        <v>0</v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ht="13">
      <c r="A21" s="351"/>
      <c r="B21" s="351"/>
      <c r="C21" s="361"/>
      <c r="D21" s="361"/>
      <c r="E21" s="324"/>
      <c r="F21" s="41" t="b">
        <v>0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13">
      <c r="A22" s="179"/>
      <c r="B22" s="179"/>
      <c r="C22" s="362"/>
      <c r="D22" s="362"/>
      <c r="E22" s="324"/>
      <c r="F22" s="41" t="b">
        <v>0</v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13">
      <c r="A23" s="351"/>
      <c r="B23" s="351"/>
      <c r="C23" s="361"/>
      <c r="D23" s="361"/>
      <c r="E23" s="324"/>
      <c r="F23" s="41" t="b">
        <v>0</v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ht="13">
      <c r="A24" s="179"/>
      <c r="B24" s="179"/>
      <c r="C24" s="362"/>
      <c r="D24" s="362"/>
      <c r="E24" s="324"/>
      <c r="F24" s="41" t="b">
        <v>0</v>
      </c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ht="13">
      <c r="A25" s="351"/>
      <c r="B25" s="351"/>
      <c r="C25" s="361"/>
      <c r="D25" s="361"/>
      <c r="E25" s="324"/>
      <c r="F25" s="41" t="b">
        <v>0</v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spans="1:28" ht="13">
      <c r="A26" s="179"/>
      <c r="B26" s="179"/>
      <c r="C26" s="362"/>
      <c r="D26" s="362"/>
      <c r="E26" s="324"/>
      <c r="F26" s="41" t="b">
        <v>0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ht="13">
      <c r="A27" s="351"/>
      <c r="B27" s="351"/>
      <c r="C27" s="361"/>
      <c r="D27" s="361"/>
      <c r="E27" s="324"/>
      <c r="F27" s="41" t="b">
        <v>0</v>
      </c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</sheetData>
  <autoFilter ref="A1:I10" xr:uid="{00000000-0009-0000-0000-000006000000}"/>
  <phoneticPr fontId="251" type="noConversion"/>
  <hyperlinks>
    <hyperlink ref="C2" r:id="rId1" xr:uid="{00000000-0004-0000-0600-000000000000}"/>
    <hyperlink ref="G2" r:id="rId2" xr:uid="{00000000-0004-0000-0600-000001000000}"/>
    <hyperlink ref="D3" r:id="rId3" xr:uid="{00000000-0004-0000-0600-000002000000}"/>
    <hyperlink ref="G3" r:id="rId4" xr:uid="{00000000-0004-0000-0600-000003000000}"/>
    <hyperlink ref="L3" r:id="rId5" xr:uid="{00000000-0004-0000-0600-000004000000}"/>
    <hyperlink ref="C4" r:id="rId6" xr:uid="{00000000-0004-0000-0600-000005000000}"/>
    <hyperlink ref="G4" r:id="rId7" xr:uid="{00000000-0004-0000-0600-000006000000}"/>
    <hyperlink ref="L4" r:id="rId8" xr:uid="{00000000-0004-0000-0600-000007000000}"/>
    <hyperlink ref="C5" r:id="rId9" xr:uid="{00000000-0004-0000-0600-000008000000}"/>
    <hyperlink ref="G5" r:id="rId10" xr:uid="{00000000-0004-0000-0600-000009000000}"/>
    <hyperlink ref="C6" r:id="rId11" xr:uid="{00000000-0004-0000-0600-00000A000000}"/>
    <hyperlink ref="D6" r:id="rId12" xr:uid="{00000000-0004-0000-0600-00000B000000}"/>
    <hyperlink ref="G6" r:id="rId13" xr:uid="{00000000-0004-0000-0600-00000C000000}"/>
    <hyperlink ref="D7" r:id="rId14" xr:uid="{00000000-0004-0000-0600-00000D000000}"/>
    <hyperlink ref="G7" r:id="rId15" xr:uid="{00000000-0004-0000-0600-00000E000000}"/>
    <hyperlink ref="L7" r:id="rId16" xr:uid="{00000000-0004-0000-0600-00000F000000}"/>
    <hyperlink ref="C8" r:id="rId17" xr:uid="{00000000-0004-0000-0600-000010000000}"/>
    <hyperlink ref="D8" r:id="rId18" xr:uid="{00000000-0004-0000-0600-000011000000}"/>
    <hyperlink ref="G8" r:id="rId19" xr:uid="{00000000-0004-0000-0600-000012000000}"/>
    <hyperlink ref="L8" r:id="rId20" xr:uid="{00000000-0004-0000-0600-000013000000}"/>
    <hyperlink ref="C9" r:id="rId21" xr:uid="{00000000-0004-0000-0600-000014000000}"/>
    <hyperlink ref="D9" r:id="rId22" xr:uid="{00000000-0004-0000-0600-000015000000}"/>
    <hyperlink ref="G9" r:id="rId23" xr:uid="{00000000-0004-0000-0600-000016000000}"/>
    <hyperlink ref="C10" r:id="rId24" xr:uid="{00000000-0004-0000-0600-000017000000}"/>
    <hyperlink ref="G10" r:id="rId25" xr:uid="{00000000-0004-0000-0600-000018000000}"/>
    <hyperlink ref="L10" r:id="rId26" xr:uid="{00000000-0004-0000-0600-000019000000}"/>
    <hyperlink ref="C11" r:id="rId27" xr:uid="{00000000-0004-0000-0600-00001A000000}"/>
    <hyperlink ref="G11" r:id="rId28" xr:uid="{00000000-0004-0000-0600-00001B000000}"/>
    <hyperlink ref="L11" r:id="rId29" xr:uid="{00000000-0004-0000-0600-00001C000000}"/>
    <hyperlink ref="C12" r:id="rId30" xr:uid="{00000000-0004-0000-0600-00001D000000}"/>
    <hyperlink ref="D12" r:id="rId31" xr:uid="{00000000-0004-0000-0600-00001E000000}"/>
    <hyperlink ref="G12" r:id="rId32" xr:uid="{00000000-0004-0000-0600-00001F000000}"/>
    <hyperlink ref="C13" r:id="rId33" xr:uid="{00000000-0004-0000-0600-000020000000}"/>
    <hyperlink ref="D13" r:id="rId34" xr:uid="{00000000-0004-0000-0600-000021000000}"/>
    <hyperlink ref="G13" r:id="rId35" xr:uid="{00000000-0004-0000-0600-000022000000}"/>
    <hyperlink ref="L13" r:id="rId36" xr:uid="{00000000-0004-0000-0600-000023000000}"/>
    <hyperlink ref="D14" r:id="rId37" xr:uid="{00000000-0004-0000-0600-000024000000}"/>
    <hyperlink ref="L14" r:id="rId38" xr:uid="{00000000-0004-0000-0600-000025000000}"/>
    <hyperlink ref="C15" r:id="rId39" xr:uid="{00000000-0004-0000-0600-000026000000}"/>
    <hyperlink ref="D15" r:id="rId40" xr:uid="{00000000-0004-0000-0600-000027000000}"/>
    <hyperlink ref="G15" r:id="rId41" xr:uid="{00000000-0004-0000-0600-000028000000}"/>
    <hyperlink ref="L15" r:id="rId42" xr:uid="{00000000-0004-0000-0600-000029000000}"/>
    <hyperlink ref="C16" r:id="rId43" xr:uid="{00000000-0004-0000-0600-00002A000000}"/>
    <hyperlink ref="D16" r:id="rId44" xr:uid="{00000000-0004-0000-0600-00002B000000}"/>
    <hyperlink ref="G16" r:id="rId45" xr:uid="{00000000-0004-0000-0600-00002C000000}"/>
    <hyperlink ref="L16" r:id="rId46" xr:uid="{00000000-0004-0000-0600-00002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I1000"/>
  <sheetViews>
    <sheetView workbookViewId="0">
      <selection activeCell="J44" sqref="J44"/>
    </sheetView>
  </sheetViews>
  <sheetFormatPr baseColWidth="10" defaultColWidth="12.6640625" defaultRowHeight="15.75" customHeight="1"/>
  <cols>
    <col min="2" max="2" width="29.1640625" customWidth="1"/>
    <col min="9" max="9" width="15.6640625" customWidth="1"/>
    <col min="17" max="17" width="16.83203125" customWidth="1"/>
    <col min="24" max="24" width="130.6640625" customWidth="1"/>
  </cols>
  <sheetData>
    <row r="1" spans="1:35" ht="33.75" customHeight="1">
      <c r="A1" s="154" t="s">
        <v>673</v>
      </c>
      <c r="B1" s="154" t="s">
        <v>375</v>
      </c>
      <c r="C1" s="114" t="s">
        <v>376</v>
      </c>
      <c r="D1" s="114" t="s">
        <v>704</v>
      </c>
      <c r="E1" s="116" t="s">
        <v>377</v>
      </c>
      <c r="F1" s="114" t="s">
        <v>704</v>
      </c>
      <c r="G1" s="116" t="s">
        <v>21</v>
      </c>
      <c r="H1" s="118" t="s">
        <v>378</v>
      </c>
      <c r="I1" s="17" t="s">
        <v>707</v>
      </c>
      <c r="J1" s="17" t="s">
        <v>708</v>
      </c>
      <c r="K1" s="17" t="s">
        <v>48</v>
      </c>
      <c r="L1" s="17" t="s">
        <v>49</v>
      </c>
      <c r="M1" s="17" t="s">
        <v>50</v>
      </c>
      <c r="N1" s="17" t="s">
        <v>52</v>
      </c>
      <c r="O1" s="17" t="s">
        <v>709</v>
      </c>
      <c r="P1" s="309" t="s">
        <v>710</v>
      </c>
      <c r="Q1" s="26" t="s">
        <v>712</v>
      </c>
      <c r="R1" s="26" t="s">
        <v>713</v>
      </c>
      <c r="S1" s="26" t="s">
        <v>64</v>
      </c>
      <c r="T1" s="26" t="s">
        <v>65</v>
      </c>
      <c r="U1" s="26" t="s">
        <v>66</v>
      </c>
      <c r="V1" s="26" t="s">
        <v>714</v>
      </c>
      <c r="W1" s="26" t="s">
        <v>710</v>
      </c>
      <c r="X1" s="311" t="s">
        <v>275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</row>
    <row r="2" spans="1:35" ht="15" customHeight="1">
      <c r="A2" s="289" t="s">
        <v>393</v>
      </c>
      <c r="B2" s="290">
        <v>821096152410</v>
      </c>
      <c r="C2" s="313" t="s">
        <v>677</v>
      </c>
      <c r="D2" s="315">
        <v>8741</v>
      </c>
      <c r="E2" s="41"/>
      <c r="F2" s="41"/>
      <c r="G2" s="294">
        <v>46109</v>
      </c>
      <c r="H2" s="152" t="b">
        <v>1</v>
      </c>
      <c r="I2" s="316" t="s">
        <v>399</v>
      </c>
      <c r="J2" s="317">
        <v>46112</v>
      </c>
      <c r="K2" s="295">
        <v>1766</v>
      </c>
      <c r="L2" s="295">
        <v>67</v>
      </c>
      <c r="M2" s="295">
        <v>6</v>
      </c>
      <c r="N2" s="295" t="s">
        <v>720</v>
      </c>
      <c r="O2" s="41" t="s">
        <v>721</v>
      </c>
      <c r="P2" s="39" t="s">
        <v>722</v>
      </c>
      <c r="Q2" s="183"/>
      <c r="R2" s="183"/>
      <c r="S2" s="183"/>
      <c r="T2" s="183"/>
      <c r="U2" s="298"/>
      <c r="V2" s="295"/>
      <c r="W2" s="295"/>
      <c r="X2" s="41" t="s">
        <v>392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spans="1:35" ht="15" customHeight="1">
      <c r="A3" s="104" t="s">
        <v>682</v>
      </c>
      <c r="B3" s="175">
        <v>1067976527</v>
      </c>
      <c r="C3" s="321" t="s">
        <v>727</v>
      </c>
      <c r="D3" s="315">
        <v>2</v>
      </c>
      <c r="E3" s="263" t="s">
        <v>683</v>
      </c>
      <c r="F3" s="323">
        <v>11000</v>
      </c>
      <c r="G3" s="294">
        <v>46109</v>
      </c>
      <c r="H3" s="39" t="b">
        <v>1</v>
      </c>
      <c r="I3" s="325" t="s">
        <v>404</v>
      </c>
      <c r="J3" s="317">
        <v>46113</v>
      </c>
      <c r="K3" s="41">
        <v>2</v>
      </c>
      <c r="L3" s="41">
        <v>0</v>
      </c>
      <c r="M3" s="41">
        <v>0</v>
      </c>
      <c r="N3" s="41">
        <v>0</v>
      </c>
      <c r="O3" s="90"/>
      <c r="P3" s="39"/>
      <c r="Q3" s="326" t="s">
        <v>689</v>
      </c>
      <c r="R3" s="317">
        <v>46113</v>
      </c>
      <c r="S3" s="90">
        <v>1156</v>
      </c>
      <c r="T3" s="90">
        <v>25</v>
      </c>
      <c r="U3" s="90">
        <v>1</v>
      </c>
      <c r="V3" s="41" t="s">
        <v>733</v>
      </c>
      <c r="W3" s="39" t="s">
        <v>722</v>
      </c>
      <c r="X3" s="41" t="s">
        <v>690</v>
      </c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</row>
    <row r="4" spans="1:35" ht="15" customHeight="1">
      <c r="A4" s="301" t="s">
        <v>405</v>
      </c>
      <c r="B4" s="175">
        <v>1077479556</v>
      </c>
      <c r="C4" s="263" t="s">
        <v>691</v>
      </c>
      <c r="D4" s="315">
        <v>325</v>
      </c>
      <c r="E4" s="321" t="s">
        <v>739</v>
      </c>
      <c r="F4" s="323">
        <v>736</v>
      </c>
      <c r="G4" s="294">
        <v>46109</v>
      </c>
      <c r="H4" s="39" t="b">
        <v>1</v>
      </c>
      <c r="I4" s="326" t="s">
        <v>409</v>
      </c>
      <c r="J4" s="317">
        <v>46114</v>
      </c>
      <c r="K4" s="90">
        <v>305</v>
      </c>
      <c r="L4" s="90">
        <v>9</v>
      </c>
      <c r="M4" s="90">
        <v>2</v>
      </c>
      <c r="N4" s="90">
        <v>1</v>
      </c>
      <c r="O4" s="41" t="s">
        <v>742</v>
      </c>
      <c r="P4" s="39" t="s">
        <v>722</v>
      </c>
      <c r="Q4" s="327" t="s">
        <v>697</v>
      </c>
      <c r="R4" s="317">
        <v>46114</v>
      </c>
      <c r="S4" s="90">
        <v>513</v>
      </c>
      <c r="T4" s="41"/>
      <c r="U4" s="41" t="s">
        <v>744</v>
      </c>
      <c r="V4" s="90" t="s">
        <v>745</v>
      </c>
      <c r="W4" s="90"/>
      <c r="X4" s="41" t="s">
        <v>699</v>
      </c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</row>
    <row r="5" spans="1:35" ht="15" customHeight="1">
      <c r="A5" s="301" t="s">
        <v>410</v>
      </c>
      <c r="B5" s="175">
        <v>1030227630</v>
      </c>
      <c r="C5" s="263" t="s">
        <v>700</v>
      </c>
      <c r="D5" s="315">
        <v>9180</v>
      </c>
      <c r="E5" s="183"/>
      <c r="F5" s="323"/>
      <c r="G5" s="306">
        <v>46109</v>
      </c>
      <c r="H5" s="328" t="b">
        <v>1</v>
      </c>
      <c r="I5" s="327" t="s">
        <v>415</v>
      </c>
      <c r="J5" s="317">
        <v>46110</v>
      </c>
      <c r="K5" s="310">
        <v>2902</v>
      </c>
      <c r="L5" s="310">
        <v>96</v>
      </c>
      <c r="M5" s="90">
        <v>2</v>
      </c>
      <c r="N5" s="90" t="s">
        <v>747</v>
      </c>
      <c r="O5" s="41" t="s">
        <v>749</v>
      </c>
      <c r="P5" s="39" t="s">
        <v>750</v>
      </c>
      <c r="Q5" s="41"/>
      <c r="R5" s="317"/>
      <c r="S5" s="41"/>
      <c r="T5" s="41"/>
      <c r="U5" s="41"/>
      <c r="V5" s="90"/>
      <c r="W5" s="90"/>
      <c r="X5" s="41" t="s">
        <v>715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</row>
    <row r="6" spans="1:35" ht="15" customHeight="1">
      <c r="A6" s="107" t="s">
        <v>416</v>
      </c>
      <c r="B6" s="312">
        <v>2183680751</v>
      </c>
      <c r="C6" s="207" t="s">
        <v>716</v>
      </c>
      <c r="D6" s="315">
        <v>1017</v>
      </c>
      <c r="E6" s="259" t="s">
        <v>719</v>
      </c>
      <c r="F6" s="323">
        <v>612</v>
      </c>
      <c r="G6" s="163">
        <v>46110</v>
      </c>
      <c r="H6" s="39" t="b">
        <v>1</v>
      </c>
      <c r="I6" s="326" t="s">
        <v>421</v>
      </c>
      <c r="J6" s="317">
        <v>46119</v>
      </c>
      <c r="K6" s="90">
        <v>2216</v>
      </c>
      <c r="L6" s="90">
        <v>113</v>
      </c>
      <c r="M6" s="90">
        <v>0</v>
      </c>
      <c r="N6" s="90">
        <v>57</v>
      </c>
      <c r="O6" s="41"/>
      <c r="P6" s="39"/>
      <c r="Q6" s="41"/>
      <c r="R6" s="317"/>
      <c r="S6" s="41"/>
      <c r="T6" s="41"/>
      <c r="U6" s="41"/>
      <c r="V6" s="90"/>
      <c r="W6" s="90"/>
      <c r="X6" s="41" t="s">
        <v>726</v>
      </c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</row>
    <row r="7" spans="1:35" ht="15" customHeight="1">
      <c r="A7" s="108" t="s">
        <v>728</v>
      </c>
      <c r="B7" s="89">
        <v>1092946599</v>
      </c>
      <c r="C7" s="329" t="s">
        <v>753</v>
      </c>
      <c r="D7" s="315">
        <v>1464</v>
      </c>
      <c r="E7" s="198" t="s">
        <v>729</v>
      </c>
      <c r="F7" s="323">
        <v>1103</v>
      </c>
      <c r="G7" s="324">
        <v>46111</v>
      </c>
      <c r="H7" s="39" t="b">
        <v>1</v>
      </c>
      <c r="I7" s="326" t="s">
        <v>427</v>
      </c>
      <c r="J7" s="317">
        <v>46117</v>
      </c>
      <c r="K7" s="90">
        <v>151</v>
      </c>
      <c r="L7" s="90">
        <v>3</v>
      </c>
      <c r="M7" s="90">
        <v>0</v>
      </c>
      <c r="N7" s="90">
        <v>1</v>
      </c>
      <c r="O7" s="90"/>
      <c r="P7" s="39"/>
      <c r="Q7" s="327" t="s">
        <v>732</v>
      </c>
      <c r="R7" s="317">
        <v>46119</v>
      </c>
      <c r="S7" s="90">
        <v>8271</v>
      </c>
      <c r="T7" s="90">
        <v>748</v>
      </c>
      <c r="U7" s="90" t="s">
        <v>756</v>
      </c>
      <c r="V7" s="90" t="s">
        <v>757</v>
      </c>
      <c r="W7" s="39" t="s">
        <v>722</v>
      </c>
      <c r="X7" s="41" t="s">
        <v>737</v>
      </c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</row>
    <row r="8" spans="1:35" ht="15" customHeight="1">
      <c r="A8" s="108" t="s">
        <v>428</v>
      </c>
      <c r="B8" s="89" t="s">
        <v>738</v>
      </c>
      <c r="C8" s="198" t="s">
        <v>740</v>
      </c>
      <c r="D8" s="315">
        <v>23000</v>
      </c>
      <c r="E8" s="198" t="s">
        <v>741</v>
      </c>
      <c r="F8" s="323">
        <v>105000</v>
      </c>
      <c r="G8" s="324">
        <v>46112</v>
      </c>
      <c r="H8" s="39" t="b">
        <v>1</v>
      </c>
      <c r="I8" s="326" t="s">
        <v>431</v>
      </c>
      <c r="J8" s="317">
        <v>46125</v>
      </c>
      <c r="K8" s="90">
        <v>309</v>
      </c>
      <c r="L8" s="90">
        <v>12</v>
      </c>
      <c r="M8" s="90">
        <v>0</v>
      </c>
      <c r="N8" s="90">
        <v>3</v>
      </c>
      <c r="O8" s="90"/>
      <c r="P8" s="39"/>
      <c r="Q8" s="326" t="s">
        <v>746</v>
      </c>
      <c r="R8" s="317">
        <v>46125</v>
      </c>
      <c r="S8" s="90">
        <v>30000</v>
      </c>
      <c r="T8" s="90">
        <v>1</v>
      </c>
      <c r="U8" s="90" t="s">
        <v>763</v>
      </c>
      <c r="V8" s="90" t="s">
        <v>764</v>
      </c>
      <c r="W8" s="39" t="s">
        <v>722</v>
      </c>
      <c r="X8" s="41" t="s">
        <v>392</v>
      </c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</row>
    <row r="9" spans="1:35" ht="15" customHeight="1">
      <c r="A9" s="301" t="s">
        <v>434</v>
      </c>
      <c r="B9" s="175">
        <v>1079370772</v>
      </c>
      <c r="C9" s="332" t="s">
        <v>765</v>
      </c>
      <c r="D9" s="315">
        <v>2302</v>
      </c>
      <c r="E9" s="263" t="s">
        <v>751</v>
      </c>
      <c r="F9" s="323">
        <v>1329</v>
      </c>
      <c r="G9" s="188">
        <v>46115</v>
      </c>
      <c r="H9" s="39" t="b">
        <v>1</v>
      </c>
      <c r="I9" s="326" t="s">
        <v>437</v>
      </c>
      <c r="J9" s="317">
        <v>46120</v>
      </c>
      <c r="K9" s="90">
        <v>719</v>
      </c>
      <c r="L9" s="90">
        <v>55</v>
      </c>
      <c r="M9" s="90">
        <v>11</v>
      </c>
      <c r="N9" s="90">
        <v>3</v>
      </c>
      <c r="O9" s="41" t="s">
        <v>767</v>
      </c>
      <c r="P9" s="39" t="s">
        <v>722</v>
      </c>
      <c r="Q9" s="41"/>
      <c r="R9" s="317"/>
      <c r="S9" s="41"/>
      <c r="T9" s="41"/>
      <c r="U9" s="41"/>
      <c r="V9" s="90"/>
      <c r="W9" s="90"/>
      <c r="X9" s="41" t="s">
        <v>752</v>
      </c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</row>
    <row r="10" spans="1:35" ht="15" customHeight="1">
      <c r="A10" s="301" t="s">
        <v>438</v>
      </c>
      <c r="B10" s="175">
        <v>1095946760</v>
      </c>
      <c r="C10" s="333" t="s">
        <v>754</v>
      </c>
      <c r="D10" s="315">
        <v>10800</v>
      </c>
      <c r="E10" s="183"/>
      <c r="F10" s="323"/>
      <c r="G10" s="324">
        <v>46116</v>
      </c>
      <c r="H10" s="39" t="b">
        <v>1</v>
      </c>
      <c r="I10" s="326" t="s">
        <v>443</v>
      </c>
      <c r="J10" s="317">
        <v>46139</v>
      </c>
      <c r="K10" s="90">
        <v>421</v>
      </c>
      <c r="L10" s="90">
        <v>13</v>
      </c>
      <c r="M10" s="90">
        <v>1</v>
      </c>
      <c r="N10" s="41"/>
      <c r="O10" s="90" t="s">
        <v>772</v>
      </c>
      <c r="P10" s="39" t="s">
        <v>722</v>
      </c>
      <c r="Q10" s="326"/>
      <c r="R10" s="317"/>
      <c r="S10" s="90">
        <v>292</v>
      </c>
      <c r="T10" s="90">
        <v>13</v>
      </c>
      <c r="U10" s="90">
        <v>2</v>
      </c>
      <c r="V10" s="41"/>
      <c r="W10" s="41"/>
      <c r="X10" s="41" t="s">
        <v>392</v>
      </c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</row>
    <row r="11" spans="1:35" ht="15" customHeight="1">
      <c r="A11" s="179" t="s">
        <v>445</v>
      </c>
      <c r="B11" s="89">
        <v>1044682869</v>
      </c>
      <c r="C11" s="335" t="s">
        <v>759</v>
      </c>
      <c r="D11" s="315">
        <v>45700</v>
      </c>
      <c r="E11" s="336" t="s">
        <v>773</v>
      </c>
      <c r="F11" s="323">
        <v>2098</v>
      </c>
      <c r="G11" s="331">
        <v>46117</v>
      </c>
      <c r="H11" s="39" t="b">
        <v>1</v>
      </c>
      <c r="I11" s="326" t="s">
        <v>448</v>
      </c>
      <c r="J11" s="337">
        <v>46149</v>
      </c>
      <c r="K11" s="41">
        <v>913</v>
      </c>
      <c r="L11" s="41">
        <v>77</v>
      </c>
      <c r="M11" s="41">
        <v>2</v>
      </c>
      <c r="N11" s="41" t="s">
        <v>774</v>
      </c>
      <c r="O11" s="41" t="s">
        <v>775</v>
      </c>
      <c r="P11" s="39" t="s">
        <v>722</v>
      </c>
      <c r="Q11" s="326" t="s">
        <v>766</v>
      </c>
      <c r="R11" s="317">
        <v>46150</v>
      </c>
      <c r="S11" s="41">
        <v>2298</v>
      </c>
      <c r="T11" s="41">
        <v>69</v>
      </c>
      <c r="U11" s="41" t="s">
        <v>778</v>
      </c>
      <c r="V11" s="41" t="s">
        <v>779</v>
      </c>
      <c r="W11" s="39" t="s">
        <v>780</v>
      </c>
      <c r="X11" s="113" t="s">
        <v>768</v>
      </c>
      <c r="Y11" s="41"/>
      <c r="Z11" s="41" t="s">
        <v>768</v>
      </c>
      <c r="AA11" s="41"/>
      <c r="AB11" s="41"/>
      <c r="AC11" s="41"/>
      <c r="AD11" s="41"/>
      <c r="AE11" s="41"/>
      <c r="AF11" s="41"/>
      <c r="AG11" s="41"/>
      <c r="AH11" s="41"/>
      <c r="AI11" s="41"/>
    </row>
    <row r="12" spans="1:35" ht="15" customHeight="1">
      <c r="A12" s="134" t="s">
        <v>449</v>
      </c>
      <c r="B12" s="312" t="s">
        <v>769</v>
      </c>
      <c r="C12" s="259" t="s">
        <v>770</v>
      </c>
      <c r="D12" s="315">
        <v>48</v>
      </c>
      <c r="E12" s="259" t="s">
        <v>771</v>
      </c>
      <c r="F12" s="323">
        <v>1376</v>
      </c>
      <c r="G12" s="324">
        <v>46141</v>
      </c>
      <c r="H12" s="39" t="b">
        <v>1</v>
      </c>
      <c r="I12" s="329" t="s">
        <v>453</v>
      </c>
      <c r="J12" s="337">
        <v>46146</v>
      </c>
      <c r="K12" s="90">
        <v>9070</v>
      </c>
      <c r="L12" s="90">
        <v>839</v>
      </c>
      <c r="M12" s="90">
        <v>5</v>
      </c>
      <c r="N12" s="90" t="s">
        <v>782</v>
      </c>
      <c r="O12" s="41" t="s">
        <v>783</v>
      </c>
      <c r="P12" s="39" t="s">
        <v>722</v>
      </c>
      <c r="Q12" s="41"/>
      <c r="R12" s="317"/>
      <c r="S12" s="41"/>
      <c r="T12" s="41"/>
      <c r="U12" s="41"/>
      <c r="V12" s="90"/>
      <c r="W12" s="90"/>
      <c r="X12" s="41" t="s">
        <v>392</v>
      </c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</row>
    <row r="13" spans="1:35" ht="15" customHeight="1">
      <c r="A13" s="139" t="s">
        <v>454</v>
      </c>
      <c r="B13" s="338" t="s">
        <v>776</v>
      </c>
      <c r="C13" s="277" t="s">
        <v>777</v>
      </c>
      <c r="D13" s="315">
        <v>5897</v>
      </c>
      <c r="E13" s="342" t="s">
        <v>781</v>
      </c>
      <c r="F13" s="323">
        <v>2692</v>
      </c>
      <c r="G13" s="341">
        <v>46142</v>
      </c>
      <c r="H13" s="39" t="b">
        <v>1</v>
      </c>
      <c r="I13" s="326" t="s">
        <v>459</v>
      </c>
      <c r="J13" s="337">
        <v>46146</v>
      </c>
      <c r="K13" s="90">
        <v>505</v>
      </c>
      <c r="L13" s="90">
        <v>40</v>
      </c>
      <c r="M13" s="90">
        <v>6</v>
      </c>
      <c r="N13" s="41"/>
      <c r="O13" s="90" t="s">
        <v>786</v>
      </c>
      <c r="P13" s="39" t="s">
        <v>780</v>
      </c>
      <c r="Q13" s="326" t="s">
        <v>784</v>
      </c>
      <c r="R13" s="317">
        <v>46146</v>
      </c>
      <c r="S13" s="90">
        <v>605</v>
      </c>
      <c r="T13" s="90">
        <v>27</v>
      </c>
      <c r="U13" s="90" t="s">
        <v>788</v>
      </c>
      <c r="V13" s="41" t="s">
        <v>789</v>
      </c>
      <c r="W13" s="39" t="s">
        <v>780</v>
      </c>
      <c r="X13" s="41" t="s">
        <v>392</v>
      </c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</row>
    <row r="14" spans="1:35" ht="15" customHeight="1">
      <c r="A14" s="343" t="s">
        <v>466</v>
      </c>
      <c r="B14" s="344" t="s">
        <v>785</v>
      </c>
      <c r="C14" s="346"/>
      <c r="D14" s="315"/>
      <c r="E14" s="348" t="s">
        <v>787</v>
      </c>
      <c r="F14" s="323">
        <v>1014</v>
      </c>
      <c r="G14" s="347">
        <v>46143</v>
      </c>
      <c r="H14" s="39" t="b">
        <v>1</v>
      </c>
      <c r="I14" s="39" t="s">
        <v>392</v>
      </c>
      <c r="J14" s="349"/>
      <c r="K14" s="39" t="s">
        <v>392</v>
      </c>
      <c r="L14" s="39" t="s">
        <v>392</v>
      </c>
      <c r="M14" s="39" t="s">
        <v>392</v>
      </c>
      <c r="N14" s="39" t="s">
        <v>392</v>
      </c>
      <c r="O14" s="90"/>
      <c r="P14" s="39"/>
      <c r="Q14" s="326" t="s">
        <v>470</v>
      </c>
      <c r="R14" s="317">
        <v>46150</v>
      </c>
      <c r="S14" s="90">
        <v>828</v>
      </c>
      <c r="T14" s="90">
        <v>32</v>
      </c>
      <c r="U14" s="90">
        <v>0</v>
      </c>
      <c r="V14" s="39"/>
      <c r="W14" s="39"/>
      <c r="X14" s="41" t="s">
        <v>392</v>
      </c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</row>
    <row r="15" spans="1:35" ht="15" customHeight="1">
      <c r="A15" s="351" t="s">
        <v>790</v>
      </c>
      <c r="B15" s="352">
        <v>1065355755</v>
      </c>
      <c r="C15" s="81" t="s">
        <v>791</v>
      </c>
      <c r="D15" s="315">
        <v>1226</v>
      </c>
      <c r="E15" s="81" t="s">
        <v>792</v>
      </c>
      <c r="F15" s="323">
        <v>4147</v>
      </c>
      <c r="G15" s="353" t="s">
        <v>793</v>
      </c>
      <c r="H15" s="39" t="b">
        <v>1</v>
      </c>
      <c r="I15" s="326" t="s">
        <v>476</v>
      </c>
      <c r="J15" s="337">
        <v>46160</v>
      </c>
      <c r="K15" s="90">
        <v>302</v>
      </c>
      <c r="L15" s="90">
        <v>12</v>
      </c>
      <c r="M15" s="41"/>
      <c r="N15" s="41"/>
      <c r="O15" s="90"/>
      <c r="P15" s="39"/>
      <c r="Q15" s="326" t="s">
        <v>794</v>
      </c>
      <c r="R15" s="317">
        <v>46160</v>
      </c>
      <c r="S15" s="90">
        <v>598</v>
      </c>
      <c r="T15" s="90">
        <v>14</v>
      </c>
      <c r="U15" s="90" t="s">
        <v>795</v>
      </c>
      <c r="V15" s="41" t="s">
        <v>796</v>
      </c>
      <c r="W15" s="41"/>
      <c r="X15" s="41" t="s">
        <v>797</v>
      </c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</row>
    <row r="16" spans="1:35" ht="15" customHeight="1">
      <c r="A16" s="179" t="s">
        <v>477</v>
      </c>
      <c r="B16" s="89" t="s">
        <v>798</v>
      </c>
      <c r="C16" s="259" t="s">
        <v>799</v>
      </c>
      <c r="D16" s="315">
        <v>1128</v>
      </c>
      <c r="E16" s="259" t="s">
        <v>800</v>
      </c>
      <c r="F16" s="323">
        <v>1216</v>
      </c>
      <c r="G16" s="353" t="s">
        <v>801</v>
      </c>
      <c r="H16" s="39" t="b">
        <v>1</v>
      </c>
      <c r="I16" s="326" t="s">
        <v>482</v>
      </c>
      <c r="J16" s="337">
        <v>46162</v>
      </c>
      <c r="K16" s="90">
        <v>286</v>
      </c>
      <c r="L16" s="90">
        <v>6</v>
      </c>
      <c r="M16" s="41"/>
      <c r="N16" s="41"/>
      <c r="O16" s="41"/>
      <c r="P16" s="39"/>
      <c r="Q16" s="153" t="s">
        <v>802</v>
      </c>
      <c r="R16" s="317">
        <v>46162</v>
      </c>
      <c r="S16" s="90">
        <v>392</v>
      </c>
      <c r="T16" s="90">
        <v>11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</row>
    <row r="17" spans="1:35" ht="15" customHeight="1">
      <c r="A17" s="104" t="s">
        <v>188</v>
      </c>
      <c r="B17" s="160">
        <f>821073041480</f>
        <v>821073041480</v>
      </c>
      <c r="C17" s="41"/>
      <c r="D17" s="315"/>
      <c r="E17" s="355" t="s">
        <v>383</v>
      </c>
      <c r="F17" s="323">
        <v>1532</v>
      </c>
      <c r="G17" s="163">
        <v>46116</v>
      </c>
      <c r="H17" s="356" t="b">
        <v>1</v>
      </c>
      <c r="I17" s="326" t="s">
        <v>194</v>
      </c>
      <c r="J17" s="317">
        <v>46128</v>
      </c>
      <c r="K17" s="90">
        <v>311</v>
      </c>
      <c r="L17" s="90">
        <v>6</v>
      </c>
      <c r="M17" s="90">
        <v>0</v>
      </c>
      <c r="N17" s="90">
        <v>1</v>
      </c>
      <c r="O17" s="90"/>
      <c r="P17" s="39"/>
      <c r="Q17" s="326" t="s">
        <v>389</v>
      </c>
      <c r="R17" s="317">
        <v>46128</v>
      </c>
      <c r="S17" s="90">
        <v>77</v>
      </c>
      <c r="T17" s="90">
        <v>5</v>
      </c>
      <c r="U17" s="90" t="s">
        <v>803</v>
      </c>
      <c r="V17" s="90" t="s">
        <v>804</v>
      </c>
      <c r="W17" s="39" t="s">
        <v>722</v>
      </c>
      <c r="X17" s="41" t="s">
        <v>392</v>
      </c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</row>
    <row r="18" spans="1:35" ht="15" customHeight="1">
      <c r="A18" s="105" t="s">
        <v>195</v>
      </c>
      <c r="B18" s="171">
        <v>821056818868</v>
      </c>
      <c r="C18" s="357" t="s">
        <v>456</v>
      </c>
      <c r="D18" s="315">
        <v>562</v>
      </c>
      <c r="E18" s="358" t="s">
        <v>805</v>
      </c>
      <c r="F18" s="323">
        <v>9724</v>
      </c>
      <c r="G18" s="176">
        <v>46117</v>
      </c>
      <c r="H18" s="359" t="b">
        <v>1</v>
      </c>
      <c r="I18" s="360" t="s">
        <v>202</v>
      </c>
      <c r="J18" s="317">
        <v>46121</v>
      </c>
      <c r="K18" s="89">
        <v>990</v>
      </c>
      <c r="L18" s="90">
        <v>21</v>
      </c>
      <c r="M18" s="41"/>
      <c r="N18" s="41"/>
      <c r="O18" s="90"/>
      <c r="P18" s="39"/>
      <c r="Q18" s="326" t="s">
        <v>464</v>
      </c>
      <c r="R18" s="317">
        <v>46121</v>
      </c>
      <c r="S18" s="90">
        <v>1757</v>
      </c>
      <c r="T18" s="41"/>
      <c r="U18" s="90" t="s">
        <v>806</v>
      </c>
      <c r="V18" s="41" t="s">
        <v>807</v>
      </c>
      <c r="W18" s="39" t="s">
        <v>722</v>
      </c>
      <c r="X18" s="41" t="s">
        <v>471</v>
      </c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</row>
    <row r="19" spans="1:35" ht="15" customHeight="1">
      <c r="A19" s="107" t="s">
        <v>203</v>
      </c>
      <c r="B19" s="184">
        <v>821024212507</v>
      </c>
      <c r="C19" s="363" t="s">
        <v>808</v>
      </c>
      <c r="D19" s="315">
        <v>162</v>
      </c>
      <c r="E19" s="364" t="s">
        <v>481</v>
      </c>
      <c r="F19" s="323">
        <v>2077</v>
      </c>
      <c r="G19" s="365">
        <v>46118</v>
      </c>
      <c r="H19" s="356" t="b">
        <v>1</v>
      </c>
      <c r="I19" s="366" t="s">
        <v>209</v>
      </c>
      <c r="J19" s="317">
        <v>46122</v>
      </c>
      <c r="K19" s="191">
        <v>418</v>
      </c>
      <c r="L19" s="191">
        <v>22</v>
      </c>
      <c r="M19" s="191">
        <v>6</v>
      </c>
      <c r="N19" s="191">
        <v>2</v>
      </c>
      <c r="O19" s="195" t="s">
        <v>809</v>
      </c>
      <c r="P19" s="369" t="s">
        <v>722</v>
      </c>
      <c r="Q19" s="326" t="s">
        <v>497</v>
      </c>
      <c r="R19" s="317">
        <v>46122</v>
      </c>
      <c r="S19" s="191">
        <v>497</v>
      </c>
      <c r="T19" s="191">
        <v>39</v>
      </c>
      <c r="U19" s="195" t="s">
        <v>810</v>
      </c>
      <c r="V19" s="90" t="s">
        <v>811</v>
      </c>
      <c r="W19" s="39" t="s">
        <v>812</v>
      </c>
      <c r="X19" s="196" t="s">
        <v>508</v>
      </c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</row>
    <row r="20" spans="1:35" ht="15" customHeight="1">
      <c r="A20" s="108" t="s">
        <v>211</v>
      </c>
      <c r="B20" s="197">
        <v>821029986726</v>
      </c>
      <c r="C20" s="335" t="s">
        <v>517</v>
      </c>
      <c r="D20" s="315">
        <v>23800</v>
      </c>
      <c r="E20" s="199"/>
      <c r="F20" s="323"/>
      <c r="G20" s="163">
        <v>46118</v>
      </c>
      <c r="H20" s="356" t="b">
        <v>1</v>
      </c>
      <c r="I20" s="326" t="s">
        <v>216</v>
      </c>
      <c r="J20" s="317">
        <v>46127</v>
      </c>
      <c r="K20" s="90">
        <v>833</v>
      </c>
      <c r="L20" s="90">
        <v>34</v>
      </c>
      <c r="M20" s="90">
        <v>0</v>
      </c>
      <c r="N20" s="90">
        <v>5</v>
      </c>
      <c r="O20" s="41"/>
      <c r="P20" s="39"/>
      <c r="Q20" s="41"/>
      <c r="R20" s="317"/>
      <c r="S20" s="41"/>
      <c r="T20" s="41"/>
      <c r="U20" s="41"/>
      <c r="V20" s="90"/>
      <c r="W20" s="90"/>
      <c r="X20" s="41" t="s">
        <v>534</v>
      </c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</row>
    <row r="21" spans="1:35" ht="15" customHeight="1">
      <c r="A21" s="109" t="s">
        <v>219</v>
      </c>
      <c r="B21" s="184">
        <v>821026554490</v>
      </c>
      <c r="C21" s="81" t="s">
        <v>535</v>
      </c>
      <c r="D21" s="315">
        <v>8710</v>
      </c>
      <c r="E21" s="370" t="s">
        <v>537</v>
      </c>
      <c r="F21" s="323">
        <v>1655</v>
      </c>
      <c r="G21" s="372">
        <v>46119</v>
      </c>
      <c r="H21" s="39" t="b">
        <v>1</v>
      </c>
      <c r="I21" s="374" t="s">
        <v>224</v>
      </c>
      <c r="J21" s="317">
        <v>46127</v>
      </c>
      <c r="K21" s="90">
        <v>538</v>
      </c>
      <c r="L21" s="90">
        <v>27</v>
      </c>
      <c r="M21" s="90">
        <v>3</v>
      </c>
      <c r="N21" s="90">
        <v>8</v>
      </c>
      <c r="O21" s="90"/>
      <c r="P21" s="39"/>
      <c r="Q21" s="326" t="s">
        <v>549</v>
      </c>
      <c r="R21" s="317">
        <v>46127</v>
      </c>
      <c r="S21" s="90">
        <v>378</v>
      </c>
      <c r="T21" s="90">
        <v>22</v>
      </c>
      <c r="U21" s="90" t="s">
        <v>813</v>
      </c>
      <c r="V21" s="90" t="s">
        <v>814</v>
      </c>
      <c r="W21" s="135" t="s">
        <v>815</v>
      </c>
      <c r="X21" s="41" t="s">
        <v>552</v>
      </c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</row>
    <row r="22" spans="1:35" ht="15" customHeight="1">
      <c r="A22" s="108" t="s">
        <v>554</v>
      </c>
      <c r="B22" s="197">
        <f>821067846312</f>
        <v>821067846312</v>
      </c>
      <c r="C22" s="336" t="s">
        <v>816</v>
      </c>
      <c r="D22" s="315">
        <v>6710</v>
      </c>
      <c r="E22" s="377" t="s">
        <v>555</v>
      </c>
      <c r="F22" s="323">
        <v>9035</v>
      </c>
      <c r="G22" s="163">
        <v>46120</v>
      </c>
      <c r="H22" s="356" t="b">
        <v>1</v>
      </c>
      <c r="I22" s="326" t="s">
        <v>231</v>
      </c>
      <c r="J22" s="317">
        <v>46128</v>
      </c>
      <c r="K22" s="90">
        <v>2085</v>
      </c>
      <c r="L22" s="90">
        <v>97</v>
      </c>
      <c r="M22" s="90">
        <v>3</v>
      </c>
      <c r="N22" s="90">
        <v>30</v>
      </c>
      <c r="O22" s="90" t="s">
        <v>817</v>
      </c>
      <c r="P22" s="39" t="s">
        <v>722</v>
      </c>
      <c r="Q22" s="326" t="s">
        <v>558</v>
      </c>
      <c r="R22" s="317">
        <v>46128</v>
      </c>
      <c r="S22" s="90">
        <v>1580</v>
      </c>
      <c r="T22" s="90">
        <v>58</v>
      </c>
      <c r="U22" s="90" t="s">
        <v>818</v>
      </c>
      <c r="V22" s="90" t="s">
        <v>819</v>
      </c>
      <c r="W22" s="39" t="s">
        <v>820</v>
      </c>
      <c r="X22" s="41" t="s">
        <v>392</v>
      </c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</row>
    <row r="23" spans="1:35" ht="15" customHeight="1">
      <c r="A23" s="108" t="s">
        <v>234</v>
      </c>
      <c r="B23" s="171">
        <f>821054548810</f>
        <v>821054548810</v>
      </c>
      <c r="C23" s="335" t="s">
        <v>568</v>
      </c>
      <c r="D23" s="315">
        <v>628</v>
      </c>
      <c r="E23" s="199"/>
      <c r="F23" s="323"/>
      <c r="G23" s="372">
        <v>46121</v>
      </c>
      <c r="H23" s="378" t="b">
        <v>1</v>
      </c>
      <c r="I23" s="198" t="s">
        <v>238</v>
      </c>
      <c r="J23" s="317">
        <v>46127</v>
      </c>
      <c r="K23" s="89">
        <v>2205</v>
      </c>
      <c r="L23" s="90">
        <v>61</v>
      </c>
      <c r="M23" s="90">
        <v>1</v>
      </c>
      <c r="N23" s="90" t="s">
        <v>824</v>
      </c>
      <c r="O23" s="44" t="s">
        <v>825</v>
      </c>
      <c r="P23" s="44" t="s">
        <v>826</v>
      </c>
      <c r="Q23" s="41"/>
      <c r="R23" s="317"/>
      <c r="S23" s="41"/>
      <c r="T23" s="41"/>
      <c r="U23" s="41"/>
      <c r="V23" s="90"/>
      <c r="W23" s="90"/>
      <c r="X23" s="41" t="s">
        <v>582</v>
      </c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</row>
    <row r="24" spans="1:35" ht="15" customHeight="1">
      <c r="A24" s="104" t="s">
        <v>239</v>
      </c>
      <c r="B24" s="217" t="s">
        <v>584</v>
      </c>
      <c r="C24" s="379" t="s">
        <v>585</v>
      </c>
      <c r="D24" s="315">
        <v>8924</v>
      </c>
      <c r="E24" s="379" t="s">
        <v>588</v>
      </c>
      <c r="F24" s="323">
        <v>1008</v>
      </c>
      <c r="G24" s="382">
        <v>46122</v>
      </c>
      <c r="H24" s="39" t="b">
        <v>1</v>
      </c>
      <c r="I24" s="383" t="s">
        <v>244</v>
      </c>
      <c r="J24" s="317">
        <v>46140</v>
      </c>
      <c r="K24" s="90">
        <v>307</v>
      </c>
      <c r="L24" s="90">
        <v>16</v>
      </c>
      <c r="M24" s="90">
        <v>1</v>
      </c>
      <c r="N24" s="90" t="s">
        <v>831</v>
      </c>
      <c r="O24" s="90" t="s">
        <v>832</v>
      </c>
      <c r="P24" s="39" t="s">
        <v>820</v>
      </c>
      <c r="Q24" s="326" t="s">
        <v>593</v>
      </c>
      <c r="R24" s="317">
        <v>46139</v>
      </c>
      <c r="S24" s="90">
        <v>574</v>
      </c>
      <c r="T24" s="90">
        <v>31</v>
      </c>
      <c r="U24" s="90" t="s">
        <v>833</v>
      </c>
      <c r="V24" s="90" t="s">
        <v>834</v>
      </c>
      <c r="W24" s="90"/>
      <c r="X24" s="41" t="s">
        <v>594</v>
      </c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</row>
    <row r="25" spans="1:35" ht="15" customHeight="1">
      <c r="A25" s="111" t="s">
        <v>245</v>
      </c>
      <c r="B25" s="228">
        <v>821089393794</v>
      </c>
      <c r="C25" s="384" t="s">
        <v>595</v>
      </c>
      <c r="D25" s="315">
        <v>15700</v>
      </c>
      <c r="E25" s="385" t="s">
        <v>597</v>
      </c>
      <c r="F25" s="323">
        <v>2635</v>
      </c>
      <c r="G25" s="386">
        <v>46123</v>
      </c>
      <c r="H25" s="387" t="b">
        <v>1</v>
      </c>
      <c r="I25" s="388" t="s">
        <v>250</v>
      </c>
      <c r="J25" s="317">
        <v>46130</v>
      </c>
      <c r="K25" s="90">
        <v>979</v>
      </c>
      <c r="L25" s="90">
        <v>58</v>
      </c>
      <c r="M25" s="90">
        <v>3</v>
      </c>
      <c r="N25" s="90" t="s">
        <v>835</v>
      </c>
      <c r="O25" s="41" t="s">
        <v>836</v>
      </c>
      <c r="P25" s="39" t="s">
        <v>837</v>
      </c>
      <c r="Q25" s="326" t="s">
        <v>603</v>
      </c>
      <c r="R25" s="317">
        <v>46130</v>
      </c>
      <c r="S25" s="90">
        <v>2413</v>
      </c>
      <c r="T25" s="41"/>
      <c r="U25" s="41" t="s">
        <v>838</v>
      </c>
      <c r="V25" s="90" t="s">
        <v>838</v>
      </c>
      <c r="W25" s="39" t="s">
        <v>722</v>
      </c>
      <c r="X25" s="41" t="s">
        <v>604</v>
      </c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</row>
    <row r="26" spans="1:35" ht="15" customHeight="1">
      <c r="A26" s="115" t="s">
        <v>606</v>
      </c>
      <c r="B26" s="179" t="s">
        <v>607</v>
      </c>
      <c r="C26" s="390" t="s">
        <v>609</v>
      </c>
      <c r="D26" s="315">
        <v>548</v>
      </c>
      <c r="E26" s="336" t="s">
        <v>839</v>
      </c>
      <c r="F26" s="323">
        <v>1241</v>
      </c>
      <c r="G26" s="324">
        <v>46124</v>
      </c>
      <c r="H26" s="378" t="b">
        <v>1</v>
      </c>
      <c r="I26" s="391" t="s">
        <v>265</v>
      </c>
      <c r="J26" s="317">
        <v>46141</v>
      </c>
      <c r="K26" s="90">
        <v>284</v>
      </c>
      <c r="L26" s="90">
        <v>7</v>
      </c>
      <c r="M26" s="90">
        <v>0</v>
      </c>
      <c r="N26" s="90">
        <v>0</v>
      </c>
      <c r="O26" s="90"/>
      <c r="P26" s="39"/>
      <c r="Q26" s="326" t="s">
        <v>611</v>
      </c>
      <c r="R26" s="317">
        <v>46141</v>
      </c>
      <c r="S26" s="90">
        <v>285</v>
      </c>
      <c r="T26" s="90">
        <v>24</v>
      </c>
      <c r="U26" s="90" t="s">
        <v>840</v>
      </c>
      <c r="V26" s="90" t="s">
        <v>832</v>
      </c>
      <c r="W26" s="90"/>
      <c r="X26" s="41" t="s">
        <v>392</v>
      </c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</row>
    <row r="27" spans="1:35" ht="15" customHeight="1">
      <c r="A27" s="267" t="s">
        <v>288</v>
      </c>
      <c r="B27" s="392" t="s">
        <v>614</v>
      </c>
      <c r="C27" s="81" t="s">
        <v>615</v>
      </c>
      <c r="D27" s="315">
        <v>618</v>
      </c>
      <c r="E27" s="380" t="s">
        <v>618</v>
      </c>
      <c r="F27" s="323">
        <v>2286</v>
      </c>
      <c r="G27" s="393">
        <v>46143</v>
      </c>
      <c r="H27" s="356" t="b">
        <v>1</v>
      </c>
      <c r="I27" s="360" t="s">
        <v>293</v>
      </c>
      <c r="J27" s="337">
        <v>46150</v>
      </c>
      <c r="K27" s="90">
        <v>339</v>
      </c>
      <c r="L27" s="90">
        <v>18</v>
      </c>
      <c r="M27" s="90">
        <v>0</v>
      </c>
      <c r="N27" s="90">
        <v>0</v>
      </c>
      <c r="O27" s="90"/>
      <c r="P27" s="39"/>
      <c r="Q27" s="326" t="s">
        <v>621</v>
      </c>
      <c r="R27" s="317">
        <v>46149</v>
      </c>
      <c r="S27" s="90">
        <v>524</v>
      </c>
      <c r="T27" s="90">
        <v>25</v>
      </c>
      <c r="U27" s="90">
        <v>1</v>
      </c>
      <c r="V27" s="90" t="s">
        <v>841</v>
      </c>
      <c r="W27" s="90"/>
      <c r="X27" s="41" t="s">
        <v>392</v>
      </c>
      <c r="Y27" s="41"/>
      <c r="Z27" s="44"/>
      <c r="AA27" s="44"/>
      <c r="AB27" s="44"/>
      <c r="AC27" s="44"/>
      <c r="AD27" s="44"/>
      <c r="AE27" s="44"/>
      <c r="AF27" s="44"/>
      <c r="AG27" s="44"/>
      <c r="AH27" s="44"/>
      <c r="AI27" s="41"/>
    </row>
    <row r="28" spans="1:35" ht="15" customHeight="1">
      <c r="A28" s="134" t="s">
        <v>299</v>
      </c>
      <c r="B28" s="134" t="s">
        <v>624</v>
      </c>
      <c r="C28" s="259" t="s">
        <v>626</v>
      </c>
      <c r="D28" s="315">
        <v>443</v>
      </c>
      <c r="E28" s="395" t="s">
        <v>628</v>
      </c>
      <c r="F28" s="323">
        <v>2782</v>
      </c>
      <c r="G28" s="396">
        <v>46146</v>
      </c>
      <c r="H28" s="39" t="b">
        <v>1</v>
      </c>
      <c r="I28" s="360" t="s">
        <v>303</v>
      </c>
      <c r="J28" s="337">
        <v>46153</v>
      </c>
      <c r="K28" s="90">
        <v>1047</v>
      </c>
      <c r="L28" s="90">
        <v>27</v>
      </c>
      <c r="M28" s="90">
        <v>0</v>
      </c>
      <c r="N28" s="90">
        <v>21</v>
      </c>
      <c r="O28" s="90"/>
      <c r="P28" s="39"/>
      <c r="Q28" s="326" t="s">
        <v>634</v>
      </c>
      <c r="R28" s="317">
        <v>46153</v>
      </c>
      <c r="S28" s="90">
        <v>1133</v>
      </c>
      <c r="T28" s="90">
        <v>32</v>
      </c>
      <c r="U28" s="90" t="s">
        <v>844</v>
      </c>
      <c r="V28" s="90" t="s">
        <v>845</v>
      </c>
      <c r="W28" s="39" t="s">
        <v>722</v>
      </c>
      <c r="X28" s="41" t="s">
        <v>635</v>
      </c>
      <c r="Y28" s="41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spans="1:35" ht="15" customHeight="1">
      <c r="A29" s="139" t="s">
        <v>636</v>
      </c>
      <c r="B29" s="260" t="s">
        <v>637</v>
      </c>
      <c r="C29" s="277" t="s">
        <v>638</v>
      </c>
      <c r="D29" s="315">
        <v>632</v>
      </c>
      <c r="E29" s="342" t="s">
        <v>640</v>
      </c>
      <c r="F29" s="323">
        <v>15000</v>
      </c>
      <c r="G29" s="397">
        <v>46149</v>
      </c>
      <c r="H29" s="387" t="b">
        <v>1</v>
      </c>
      <c r="I29" s="360" t="s">
        <v>313</v>
      </c>
      <c r="J29" s="337">
        <v>46156</v>
      </c>
      <c r="K29" s="90">
        <v>1039</v>
      </c>
      <c r="L29" s="90">
        <v>42</v>
      </c>
      <c r="M29" s="41"/>
      <c r="N29" s="90">
        <v>10</v>
      </c>
      <c r="O29" s="90"/>
      <c r="P29" s="39"/>
      <c r="Q29" s="326" t="s">
        <v>644</v>
      </c>
      <c r="R29" s="317">
        <v>46155</v>
      </c>
      <c r="S29" s="90">
        <v>1575</v>
      </c>
      <c r="T29" s="90">
        <v>134</v>
      </c>
      <c r="U29" s="90" t="s">
        <v>846</v>
      </c>
      <c r="V29" s="90" t="s">
        <v>847</v>
      </c>
      <c r="W29" s="39" t="s">
        <v>820</v>
      </c>
      <c r="X29" s="41"/>
      <c r="Y29" s="41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spans="1:35" ht="15" customHeight="1">
      <c r="A30" s="41" t="s">
        <v>315</v>
      </c>
      <c r="B30" s="134" t="s">
        <v>648</v>
      </c>
      <c r="C30" s="259" t="s">
        <v>649</v>
      </c>
      <c r="D30" s="315">
        <v>11900</v>
      </c>
      <c r="E30" s="395" t="s">
        <v>655</v>
      </c>
      <c r="F30" s="323">
        <v>18000</v>
      </c>
      <c r="G30" s="398" t="s">
        <v>657</v>
      </c>
      <c r="H30" s="387" t="b">
        <v>1</v>
      </c>
      <c r="I30" s="198" t="s">
        <v>320</v>
      </c>
      <c r="J30" s="337">
        <v>46161</v>
      </c>
      <c r="K30" s="90">
        <v>2068</v>
      </c>
      <c r="L30" s="90">
        <v>90</v>
      </c>
      <c r="M30" s="90">
        <v>2</v>
      </c>
      <c r="N30" s="90" t="s">
        <v>848</v>
      </c>
      <c r="O30" s="41" t="s">
        <v>849</v>
      </c>
      <c r="P30" s="39" t="s">
        <v>850</v>
      </c>
      <c r="Q30" s="41"/>
      <c r="R30" s="317"/>
      <c r="S30" s="41"/>
      <c r="T30" s="41"/>
      <c r="U30" s="41"/>
      <c r="V30" s="90"/>
      <c r="W30" s="90"/>
      <c r="X30" s="41"/>
      <c r="Y30" s="41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spans="1:35" ht="15" customHeight="1">
      <c r="A31" s="106" t="s">
        <v>323</v>
      </c>
      <c r="B31" s="400" t="s">
        <v>646</v>
      </c>
      <c r="C31" s="401"/>
      <c r="D31" s="401"/>
      <c r="E31" s="402" t="s">
        <v>647</v>
      </c>
      <c r="F31" s="323">
        <v>4808</v>
      </c>
      <c r="G31" s="403">
        <v>46162</v>
      </c>
      <c r="H31" s="387" t="b">
        <v>1</v>
      </c>
      <c r="I31" s="198" t="s">
        <v>392</v>
      </c>
      <c r="J31" s="349"/>
      <c r="K31" s="44" t="s">
        <v>392</v>
      </c>
      <c r="L31" s="44" t="s">
        <v>392</v>
      </c>
      <c r="M31" s="44" t="s">
        <v>392</v>
      </c>
      <c r="N31" s="44" t="s">
        <v>392</v>
      </c>
      <c r="O31" s="44"/>
      <c r="P31" s="32"/>
      <c r="Q31" s="335" t="s">
        <v>328</v>
      </c>
      <c r="R31" s="317">
        <v>46166</v>
      </c>
      <c r="S31" s="57">
        <v>740</v>
      </c>
      <c r="T31" s="44"/>
      <c r="U31" s="44" t="s">
        <v>851</v>
      </c>
      <c r="V31" s="44" t="s">
        <v>851</v>
      </c>
      <c r="W31" s="39" t="s">
        <v>722</v>
      </c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spans="1:35" ht="1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32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:35" ht="1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32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spans="1:35" ht="1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32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spans="1:35" ht="1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32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spans="1:35" ht="1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32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 spans="1:35" ht="1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32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spans="1:35" ht="1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32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  <row r="39" spans="1:35" ht="1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32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</row>
    <row r="40" spans="1:35" ht="1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32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</row>
    <row r="41" spans="1:35" ht="1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32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</row>
    <row r="42" spans="1:35" ht="1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32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</row>
    <row r="43" spans="1:35" ht="1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32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</row>
    <row r="44" spans="1:35" ht="1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32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</row>
    <row r="45" spans="1:35" ht="1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32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</row>
    <row r="46" spans="1:35" ht="1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32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</row>
    <row r="47" spans="1:35" ht="1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32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</row>
    <row r="48" spans="1:35" ht="1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32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</row>
    <row r="49" spans="1:35" ht="1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32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  <row r="50" spans="1:35" ht="1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32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</row>
    <row r="51" spans="1:35" ht="1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32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</row>
    <row r="52" spans="1:35" ht="1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32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</row>
    <row r="53" spans="1:35" ht="1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32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</row>
    <row r="54" spans="1:35" ht="1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32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</row>
    <row r="55" spans="1:35" ht="1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32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</row>
    <row r="56" spans="1:35" ht="1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32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</row>
    <row r="57" spans="1:35" ht="1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32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</row>
    <row r="58" spans="1:35" ht="1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32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</row>
    <row r="59" spans="1:35" ht="1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32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</row>
    <row r="60" spans="1:35" ht="1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32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</row>
    <row r="61" spans="1:35" ht="1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32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</row>
    <row r="62" spans="1:35" ht="1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32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</row>
    <row r="63" spans="1:35" ht="1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32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</row>
    <row r="64" spans="1:35" ht="1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32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</row>
    <row r="65" spans="1:35" ht="1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32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</row>
    <row r="66" spans="1:35" ht="1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32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</row>
    <row r="67" spans="1:35" ht="1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32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</row>
    <row r="68" spans="1:35" ht="1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32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</row>
    <row r="69" spans="1:35" ht="1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32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</row>
    <row r="70" spans="1:35" ht="1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32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</row>
    <row r="71" spans="1:35" ht="1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32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</row>
    <row r="72" spans="1:35" ht="1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32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</row>
    <row r="73" spans="1:35" ht="1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32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</row>
    <row r="74" spans="1:35" ht="1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32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</row>
    <row r="75" spans="1:35" ht="1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32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</row>
    <row r="76" spans="1:35" ht="1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32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</row>
    <row r="77" spans="1:35" ht="1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32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</row>
    <row r="78" spans="1:35" ht="1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32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</row>
    <row r="79" spans="1:35" ht="1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32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</row>
    <row r="80" spans="1:35" ht="1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32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</row>
    <row r="81" spans="1:35" ht="1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32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</row>
    <row r="82" spans="1:35" ht="1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32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</row>
    <row r="83" spans="1:35" ht="1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32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</row>
    <row r="84" spans="1:35" ht="1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32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</row>
    <row r="85" spans="1:35" ht="1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32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</row>
    <row r="86" spans="1:35" ht="1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32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</row>
    <row r="87" spans="1:35" ht="1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32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</row>
    <row r="88" spans="1:35" ht="1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32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</row>
    <row r="89" spans="1:35" ht="1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32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</row>
    <row r="90" spans="1:35" ht="1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32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</row>
    <row r="91" spans="1:35" ht="1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32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</row>
    <row r="92" spans="1:35" ht="1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32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</row>
    <row r="93" spans="1:35" ht="1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32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</row>
    <row r="94" spans="1:35" ht="1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32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</row>
    <row r="95" spans="1:35" ht="1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32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</row>
    <row r="96" spans="1:35" ht="1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32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</row>
    <row r="97" spans="1:35" ht="1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32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</row>
    <row r="98" spans="1:35" ht="1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32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</row>
    <row r="99" spans="1:35" ht="1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32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</row>
    <row r="100" spans="1:35" ht="1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32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</row>
    <row r="101" spans="1:35" ht="1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32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</row>
    <row r="102" spans="1:35" ht="1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32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</row>
    <row r="103" spans="1:35" ht="1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32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</row>
    <row r="104" spans="1:35" ht="1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32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</row>
    <row r="105" spans="1:35" ht="1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32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</row>
    <row r="106" spans="1:35" ht="1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32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</row>
    <row r="107" spans="1:35" ht="1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32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</row>
    <row r="108" spans="1:35" ht="1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32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</row>
    <row r="109" spans="1:35" ht="1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32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</row>
    <row r="110" spans="1:35" ht="1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32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</row>
    <row r="111" spans="1:35" ht="1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32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</row>
    <row r="112" spans="1:35" ht="1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32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</row>
    <row r="113" spans="1:35" ht="1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32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</row>
    <row r="114" spans="1:35" ht="1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32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</row>
    <row r="115" spans="1:35" ht="1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32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</row>
    <row r="116" spans="1:35" ht="1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32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</row>
    <row r="117" spans="1:35" ht="1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32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</row>
    <row r="118" spans="1:35" ht="1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32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</row>
    <row r="119" spans="1:35" ht="1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32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</row>
    <row r="120" spans="1:35" ht="1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32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</row>
    <row r="121" spans="1:35" ht="1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32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</row>
    <row r="122" spans="1:35" ht="1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32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</row>
    <row r="123" spans="1:35" ht="1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32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</row>
    <row r="124" spans="1:35" ht="1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32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</row>
    <row r="125" spans="1:35" ht="1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32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</row>
    <row r="126" spans="1:35" ht="1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32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</row>
    <row r="127" spans="1:35" ht="1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32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</row>
    <row r="128" spans="1:35" ht="1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32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</row>
    <row r="129" spans="1:35" ht="1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32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</row>
    <row r="130" spans="1:35" ht="1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32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</row>
    <row r="131" spans="1:35" ht="1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32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</row>
    <row r="132" spans="1:35" ht="1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32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</row>
    <row r="133" spans="1:35" ht="1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32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</row>
    <row r="134" spans="1:35" ht="1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32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</row>
    <row r="135" spans="1:35" ht="1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32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</row>
    <row r="136" spans="1:35" ht="1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32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</row>
    <row r="137" spans="1:35" ht="1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32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</row>
    <row r="138" spans="1:35" ht="1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32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</row>
    <row r="139" spans="1:35" ht="1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32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</row>
    <row r="140" spans="1:35" ht="1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32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</row>
    <row r="141" spans="1:35" ht="1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32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</row>
    <row r="142" spans="1:35" ht="1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32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</row>
    <row r="143" spans="1:35" ht="1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32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</row>
    <row r="144" spans="1:35" ht="1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32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</row>
    <row r="145" spans="1:35" ht="1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32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</row>
    <row r="146" spans="1:35" ht="1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32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</row>
    <row r="147" spans="1:35" ht="1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32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</row>
    <row r="148" spans="1:35" ht="1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32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</row>
    <row r="149" spans="1:35" ht="1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32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</row>
    <row r="150" spans="1:35" ht="1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32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</row>
    <row r="151" spans="1:35" ht="1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32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</row>
    <row r="152" spans="1:35" ht="1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32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</row>
    <row r="153" spans="1:35" ht="1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32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</row>
    <row r="154" spans="1:35" ht="1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32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</row>
    <row r="155" spans="1:35" ht="1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32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</row>
    <row r="156" spans="1:35" ht="1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32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</row>
    <row r="157" spans="1:35" ht="1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32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</row>
    <row r="158" spans="1:35" ht="1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32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</row>
    <row r="159" spans="1:35" ht="1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32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</row>
    <row r="160" spans="1:35" ht="1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32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</row>
    <row r="161" spans="1:35" ht="1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32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</row>
    <row r="162" spans="1:35" ht="1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32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</row>
    <row r="163" spans="1:35" ht="1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32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</row>
    <row r="164" spans="1:35" ht="1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32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</row>
    <row r="165" spans="1:35" ht="1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32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</row>
    <row r="166" spans="1:35" ht="1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32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</row>
    <row r="167" spans="1:35" ht="1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32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</row>
    <row r="168" spans="1:35" ht="1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32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</row>
    <row r="169" spans="1:35" ht="1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32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</row>
    <row r="170" spans="1:35" ht="1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32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</row>
    <row r="171" spans="1:35" ht="1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32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</row>
    <row r="172" spans="1:35" ht="1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32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</row>
    <row r="173" spans="1:35" ht="1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32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</row>
    <row r="174" spans="1:35" ht="1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32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</row>
    <row r="175" spans="1:35" ht="1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32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</row>
    <row r="176" spans="1:35" ht="1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32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</row>
    <row r="177" spans="1:35" ht="1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32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</row>
    <row r="178" spans="1:35" ht="1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32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</row>
    <row r="179" spans="1:35" ht="1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32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</row>
    <row r="180" spans="1:35" ht="1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32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</row>
    <row r="181" spans="1:35" ht="1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32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</row>
    <row r="182" spans="1:35" ht="1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32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</row>
    <row r="183" spans="1:35" ht="1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32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</row>
    <row r="184" spans="1:35" ht="1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32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</row>
    <row r="185" spans="1:35" ht="1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32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</row>
    <row r="186" spans="1:35" ht="1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32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</row>
    <row r="187" spans="1:35" ht="1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32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</row>
    <row r="188" spans="1:35" ht="1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32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</row>
    <row r="189" spans="1:35" ht="1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32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</row>
    <row r="190" spans="1:35" ht="1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32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</row>
    <row r="191" spans="1:35" ht="1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32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</row>
    <row r="192" spans="1:35" ht="1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32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</row>
    <row r="193" spans="1:35" ht="1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32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</row>
    <row r="194" spans="1:35" ht="1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32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</row>
    <row r="195" spans="1:35" ht="1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32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</row>
    <row r="196" spans="1:35" ht="1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32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</row>
    <row r="197" spans="1:35" ht="1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32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</row>
    <row r="198" spans="1:35" ht="1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32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</row>
    <row r="199" spans="1:35" ht="1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32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</row>
    <row r="200" spans="1:35" ht="1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32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</row>
    <row r="201" spans="1:35" ht="1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32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</row>
    <row r="202" spans="1:35" ht="1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32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</row>
    <row r="203" spans="1:35" ht="1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32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</row>
    <row r="204" spans="1:35" ht="1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32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</row>
    <row r="205" spans="1:35" ht="1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32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</row>
    <row r="206" spans="1:35" ht="1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32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</row>
    <row r="207" spans="1:35" ht="1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32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</row>
    <row r="208" spans="1:35" ht="1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32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</row>
    <row r="209" spans="1:35" ht="1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32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</row>
    <row r="210" spans="1:35" ht="1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32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</row>
    <row r="211" spans="1:35" ht="1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32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</row>
    <row r="212" spans="1:35" ht="1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32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</row>
    <row r="213" spans="1:35" ht="1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32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</row>
    <row r="214" spans="1:35" ht="1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32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</row>
    <row r="215" spans="1:35" ht="1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32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</row>
    <row r="216" spans="1:35" ht="1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32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</row>
    <row r="217" spans="1:35" ht="1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32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</row>
    <row r="218" spans="1:35" ht="1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32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</row>
    <row r="219" spans="1:35" ht="1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32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</row>
    <row r="220" spans="1:35" ht="1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32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</row>
    <row r="221" spans="1:35" ht="1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32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</row>
    <row r="222" spans="1:35" ht="1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32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</row>
    <row r="223" spans="1:35" ht="1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32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</row>
    <row r="224" spans="1:35" ht="1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32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</row>
    <row r="225" spans="1:35" ht="1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32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</row>
    <row r="226" spans="1:35" ht="1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32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</row>
    <row r="227" spans="1:35" ht="1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32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</row>
    <row r="228" spans="1:35" ht="1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32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</row>
    <row r="229" spans="1:35" ht="1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32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</row>
    <row r="230" spans="1:35" ht="1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32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</row>
    <row r="231" spans="1:35" ht="1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32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</row>
    <row r="232" spans="1:35" ht="1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32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</row>
    <row r="233" spans="1:35" ht="1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32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</row>
    <row r="234" spans="1:35" ht="1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32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</row>
    <row r="235" spans="1:35" ht="1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32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</row>
    <row r="236" spans="1:35" ht="1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32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</row>
    <row r="237" spans="1:35" ht="1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32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</row>
    <row r="238" spans="1:35" ht="1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32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</row>
    <row r="239" spans="1:35" ht="1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32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</row>
    <row r="240" spans="1:35" ht="1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32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</row>
    <row r="241" spans="1:35" ht="1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32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</row>
    <row r="242" spans="1:35" ht="1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32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</row>
    <row r="243" spans="1:35" ht="1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32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</row>
    <row r="244" spans="1:35" ht="1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32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</row>
    <row r="245" spans="1:35" ht="1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32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</row>
    <row r="246" spans="1:35" ht="1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32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</row>
    <row r="247" spans="1:35" ht="1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32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</row>
    <row r="248" spans="1:35" ht="1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32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</row>
    <row r="249" spans="1:35" ht="1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32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</row>
    <row r="250" spans="1:35" ht="1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32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</row>
    <row r="251" spans="1:35" ht="1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32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</row>
    <row r="252" spans="1:35" ht="1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32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</row>
    <row r="253" spans="1:35" ht="1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32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</row>
    <row r="254" spans="1:35" ht="1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32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</row>
    <row r="255" spans="1:35" ht="1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32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</row>
    <row r="256" spans="1:35" ht="1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32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</row>
    <row r="257" spans="1:35" ht="1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32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</row>
    <row r="258" spans="1:35" ht="1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32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</row>
    <row r="259" spans="1:35" ht="1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32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</row>
    <row r="260" spans="1:35" ht="1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32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</row>
    <row r="261" spans="1:35" ht="1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32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</row>
    <row r="262" spans="1:35" ht="1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32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</row>
    <row r="263" spans="1:35" ht="1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32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</row>
    <row r="264" spans="1:35" ht="1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32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</row>
    <row r="265" spans="1:35" ht="1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32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</row>
    <row r="266" spans="1:35" ht="1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32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</row>
    <row r="267" spans="1:35" ht="1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32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</row>
    <row r="268" spans="1:35" ht="1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32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</row>
    <row r="269" spans="1:35" ht="1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32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</row>
    <row r="270" spans="1:35" ht="1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32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</row>
    <row r="271" spans="1:35" ht="1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32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</row>
    <row r="272" spans="1:35" ht="1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32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</row>
    <row r="273" spans="1:35" ht="1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32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</row>
    <row r="274" spans="1:35" ht="1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32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</row>
    <row r="275" spans="1:35" ht="1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32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</row>
    <row r="276" spans="1:35" ht="1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32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</row>
    <row r="277" spans="1:35" ht="1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32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</row>
    <row r="278" spans="1:35" ht="1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32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</row>
    <row r="279" spans="1:35" ht="1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32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</row>
    <row r="280" spans="1:35" ht="1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32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</row>
    <row r="281" spans="1:35" ht="1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32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</row>
    <row r="282" spans="1:35" ht="1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32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</row>
    <row r="283" spans="1:35" ht="1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32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</row>
    <row r="284" spans="1:35" ht="1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32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</row>
    <row r="285" spans="1:35" ht="1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32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</row>
    <row r="286" spans="1:35" ht="1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32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</row>
    <row r="287" spans="1:35" ht="1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32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</row>
    <row r="288" spans="1:35" ht="1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32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</row>
    <row r="289" spans="1:35" ht="1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32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</row>
    <row r="290" spans="1:35" ht="1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32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</row>
    <row r="291" spans="1:35" ht="1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32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</row>
    <row r="292" spans="1:35" ht="1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32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</row>
    <row r="293" spans="1:35" ht="1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32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</row>
    <row r="294" spans="1:35" ht="1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32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</row>
    <row r="295" spans="1:35" ht="1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32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</row>
    <row r="296" spans="1:35" ht="1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32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</row>
    <row r="297" spans="1:35" ht="1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32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</row>
    <row r="298" spans="1:35" ht="1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32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</row>
    <row r="299" spans="1:35" ht="1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32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</row>
    <row r="300" spans="1:35" ht="1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32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</row>
    <row r="301" spans="1:35" ht="1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32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</row>
    <row r="302" spans="1:35" ht="1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32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</row>
    <row r="303" spans="1:35" ht="1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32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</row>
    <row r="304" spans="1:35" ht="1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32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</row>
    <row r="305" spans="1:35" ht="1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32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</row>
    <row r="306" spans="1:35" ht="1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32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</row>
    <row r="307" spans="1:35" ht="1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32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</row>
    <row r="308" spans="1:35" ht="1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32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</row>
    <row r="309" spans="1:35" ht="1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32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</row>
    <row r="310" spans="1:35" ht="1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32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</row>
    <row r="311" spans="1:35" ht="1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32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</row>
    <row r="312" spans="1:35" ht="1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32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</row>
    <row r="313" spans="1:35" ht="1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32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</row>
    <row r="314" spans="1:35" ht="1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32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</row>
    <row r="315" spans="1:35" ht="1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32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</row>
    <row r="316" spans="1:35" ht="1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32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</row>
    <row r="317" spans="1:35" ht="1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32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</row>
    <row r="318" spans="1:35" ht="1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32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</row>
    <row r="319" spans="1:35" ht="1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32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</row>
    <row r="320" spans="1:35" ht="1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32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</row>
    <row r="321" spans="1:35" ht="1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32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</row>
    <row r="322" spans="1:35" ht="1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32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</row>
    <row r="323" spans="1:35" ht="1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32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</row>
    <row r="324" spans="1:35" ht="1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32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</row>
    <row r="325" spans="1:35" ht="1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32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</row>
    <row r="326" spans="1:35" ht="1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32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</row>
    <row r="327" spans="1:35" ht="1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32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</row>
    <row r="328" spans="1:35" ht="1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32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</row>
    <row r="329" spans="1:35" ht="1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32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</row>
    <row r="330" spans="1:35" ht="1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32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</row>
    <row r="331" spans="1:35" ht="1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32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</row>
    <row r="332" spans="1:35" ht="1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32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</row>
    <row r="333" spans="1:35" ht="1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32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</row>
    <row r="334" spans="1:35" ht="1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32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</row>
    <row r="335" spans="1:35" ht="1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32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</row>
    <row r="336" spans="1:35" ht="1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32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</row>
    <row r="337" spans="1:35" ht="1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32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</row>
    <row r="338" spans="1:35" ht="1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32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</row>
    <row r="339" spans="1:35" ht="1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32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</row>
    <row r="340" spans="1:35" ht="1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32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</row>
    <row r="341" spans="1:35" ht="1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32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</row>
    <row r="342" spans="1:35" ht="1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32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</row>
    <row r="343" spans="1:35" ht="1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32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</row>
    <row r="344" spans="1:35" ht="1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32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</row>
    <row r="345" spans="1:35" ht="1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32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</row>
    <row r="346" spans="1:35" ht="1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32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</row>
    <row r="347" spans="1:35" ht="1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32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</row>
    <row r="348" spans="1:35" ht="1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32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</row>
    <row r="349" spans="1:35" ht="1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32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</row>
    <row r="350" spans="1:35" ht="1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32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</row>
    <row r="351" spans="1:35" ht="1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32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</row>
    <row r="352" spans="1:35" ht="1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32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</row>
    <row r="353" spans="1:35" ht="1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32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</row>
    <row r="354" spans="1:35" ht="1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32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</row>
    <row r="355" spans="1:35" ht="1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32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</row>
    <row r="356" spans="1:35" ht="1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32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</row>
    <row r="357" spans="1:35" ht="1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32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</row>
    <row r="358" spans="1:35" ht="1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32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</row>
    <row r="359" spans="1:35" ht="1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32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</row>
    <row r="360" spans="1:35" ht="1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32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</row>
    <row r="361" spans="1:35" ht="1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32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</row>
    <row r="362" spans="1:35" ht="1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32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</row>
    <row r="363" spans="1:35" ht="1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32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</row>
    <row r="364" spans="1:35" ht="1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32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</row>
    <row r="365" spans="1:35" ht="1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32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</row>
    <row r="366" spans="1:35" ht="1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32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</row>
    <row r="367" spans="1:35" ht="1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32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</row>
    <row r="368" spans="1:35" ht="1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32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</row>
    <row r="369" spans="1:35" ht="1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32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</row>
    <row r="370" spans="1:35" ht="1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32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</row>
    <row r="371" spans="1:35" ht="1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32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</row>
    <row r="372" spans="1:35" ht="1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32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</row>
    <row r="373" spans="1:35" ht="1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32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</row>
    <row r="374" spans="1:35" ht="1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32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</row>
    <row r="375" spans="1:35" ht="1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32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</row>
    <row r="376" spans="1:35" ht="1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32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</row>
    <row r="377" spans="1:35" ht="1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32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</row>
    <row r="378" spans="1:35" ht="1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32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</row>
    <row r="379" spans="1:35" ht="1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32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</row>
    <row r="380" spans="1:35" ht="1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32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</row>
    <row r="381" spans="1:35" ht="1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32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</row>
    <row r="382" spans="1:35" ht="1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32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</row>
    <row r="383" spans="1:35" ht="1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32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</row>
    <row r="384" spans="1:35" ht="1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32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</row>
    <row r="385" spans="1:35" ht="1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32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</row>
    <row r="386" spans="1:35" ht="1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32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</row>
    <row r="387" spans="1:35" ht="1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32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</row>
    <row r="388" spans="1:35" ht="1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32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</row>
    <row r="389" spans="1:35" ht="1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32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</row>
    <row r="390" spans="1:35" ht="1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32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</row>
    <row r="391" spans="1:35" ht="1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32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</row>
    <row r="392" spans="1:35" ht="1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32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</row>
    <row r="393" spans="1:35" ht="1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32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</row>
    <row r="394" spans="1:35" ht="1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32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</row>
    <row r="395" spans="1:35" ht="1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32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</row>
    <row r="396" spans="1:35" ht="1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32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</row>
    <row r="397" spans="1:35" ht="1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32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</row>
    <row r="398" spans="1:35" ht="1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32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</row>
    <row r="399" spans="1:35" ht="1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32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</row>
    <row r="400" spans="1:35" ht="1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32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</row>
    <row r="401" spans="1:35" ht="1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32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</row>
    <row r="402" spans="1:35" ht="1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32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</row>
    <row r="403" spans="1:35" ht="1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32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</row>
    <row r="404" spans="1:35" ht="1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32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</row>
    <row r="405" spans="1:35" ht="1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32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</row>
    <row r="406" spans="1:35" ht="1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32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</row>
    <row r="407" spans="1:35" ht="1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32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</row>
    <row r="408" spans="1:35" ht="1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32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</row>
    <row r="409" spans="1:35" ht="1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32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</row>
    <row r="410" spans="1:35" ht="1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32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</row>
    <row r="411" spans="1:35" ht="1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32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</row>
    <row r="412" spans="1:35" ht="1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32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</row>
    <row r="413" spans="1:35" ht="1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32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</row>
    <row r="414" spans="1:35" ht="1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32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</row>
    <row r="415" spans="1:35" ht="1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32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</row>
    <row r="416" spans="1:35" ht="1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32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</row>
    <row r="417" spans="1:35" ht="1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32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</row>
    <row r="418" spans="1:35" ht="1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32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</row>
    <row r="419" spans="1:35" ht="1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32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</row>
    <row r="420" spans="1:35" ht="1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32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</row>
    <row r="421" spans="1:35" ht="1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32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</row>
    <row r="422" spans="1:35" ht="1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32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</row>
    <row r="423" spans="1:35" ht="1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32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</row>
    <row r="424" spans="1:35" ht="1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32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</row>
    <row r="425" spans="1:35" ht="1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32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</row>
    <row r="426" spans="1:35" ht="1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32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</row>
    <row r="427" spans="1:35" ht="1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32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</row>
    <row r="428" spans="1:35" ht="1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32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</row>
    <row r="429" spans="1:35" ht="1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32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</row>
    <row r="430" spans="1:35" ht="1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32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</row>
    <row r="431" spans="1:35" ht="1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32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</row>
    <row r="432" spans="1:35" ht="1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32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</row>
    <row r="433" spans="1:35" ht="1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32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</row>
    <row r="434" spans="1:35" ht="1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32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</row>
    <row r="435" spans="1:35" ht="1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32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</row>
    <row r="436" spans="1:35" ht="1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32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</row>
    <row r="437" spans="1:35" ht="1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32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</row>
    <row r="438" spans="1:35" ht="1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32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</row>
    <row r="439" spans="1:35" ht="1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32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</row>
    <row r="440" spans="1:35" ht="1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32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</row>
    <row r="441" spans="1:35" ht="1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32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</row>
    <row r="442" spans="1:35" ht="1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32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</row>
    <row r="443" spans="1:35" ht="1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32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</row>
    <row r="444" spans="1:35" ht="1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32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</row>
    <row r="445" spans="1:35" ht="1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32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</row>
    <row r="446" spans="1:35" ht="1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32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</row>
    <row r="447" spans="1:35" ht="1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32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</row>
    <row r="448" spans="1:35" ht="1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32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</row>
    <row r="449" spans="1:35" ht="1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32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</row>
    <row r="450" spans="1:35" ht="1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32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</row>
    <row r="451" spans="1:35" ht="1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32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</row>
    <row r="452" spans="1:35" ht="1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32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</row>
    <row r="453" spans="1:35" ht="1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32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</row>
    <row r="454" spans="1:35" ht="1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32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</row>
    <row r="455" spans="1:35" ht="1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32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</row>
    <row r="456" spans="1:35" ht="1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32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</row>
    <row r="457" spans="1:35" ht="1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32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</row>
    <row r="458" spans="1:35" ht="1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32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</row>
    <row r="459" spans="1:35" ht="1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32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</row>
    <row r="460" spans="1:35" ht="1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32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</row>
    <row r="461" spans="1:35" ht="1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32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</row>
    <row r="462" spans="1:35" ht="1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32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</row>
    <row r="463" spans="1:35" ht="1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32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</row>
    <row r="464" spans="1:35" ht="1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32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</row>
    <row r="465" spans="1:35" ht="1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32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</row>
    <row r="466" spans="1:35" ht="1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32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</row>
    <row r="467" spans="1:35" ht="1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32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</row>
    <row r="468" spans="1:35" ht="1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32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</row>
    <row r="469" spans="1:35" ht="1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32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</row>
    <row r="470" spans="1:35" ht="1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32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</row>
    <row r="471" spans="1:35" ht="1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32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</row>
    <row r="472" spans="1:35" ht="1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32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</row>
    <row r="473" spans="1:35" ht="1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32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</row>
    <row r="474" spans="1:35" ht="1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32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</row>
    <row r="475" spans="1:35" ht="1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32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</row>
    <row r="476" spans="1:35" ht="1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32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</row>
    <row r="477" spans="1:35" ht="1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32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</row>
    <row r="478" spans="1:35" ht="1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32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</row>
    <row r="479" spans="1:35" ht="1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32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</row>
    <row r="480" spans="1:35" ht="1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32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</row>
    <row r="481" spans="1:35" ht="1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32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</row>
    <row r="482" spans="1:35" ht="1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32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</row>
    <row r="483" spans="1:35" ht="1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32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</row>
    <row r="484" spans="1:35" ht="1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32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</row>
    <row r="485" spans="1:35" ht="1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32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</row>
    <row r="486" spans="1:35" ht="1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32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</row>
    <row r="487" spans="1:35" ht="1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32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</row>
    <row r="488" spans="1:35" ht="1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32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</row>
    <row r="489" spans="1:35" ht="1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32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</row>
    <row r="490" spans="1:35" ht="1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32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</row>
    <row r="491" spans="1:35" ht="1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32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</row>
    <row r="492" spans="1:35" ht="1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32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</row>
    <row r="493" spans="1:35" ht="1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32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</row>
    <row r="494" spans="1:35" ht="1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32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</row>
    <row r="495" spans="1:35" ht="1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32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</row>
    <row r="496" spans="1:35" ht="1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32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</row>
    <row r="497" spans="1:35" ht="1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32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</row>
    <row r="498" spans="1:35" ht="1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32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</row>
    <row r="499" spans="1:35" ht="1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32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</row>
    <row r="500" spans="1:35" ht="1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32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</row>
    <row r="501" spans="1:35" ht="1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32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</row>
    <row r="502" spans="1:35" ht="1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32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</row>
    <row r="503" spans="1:35" ht="1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32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</row>
    <row r="504" spans="1:35" ht="1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32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</row>
    <row r="505" spans="1:35" ht="1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32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</row>
    <row r="506" spans="1:35" ht="1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32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</row>
    <row r="507" spans="1:35" ht="1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32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</row>
    <row r="508" spans="1:35" ht="1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32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</row>
    <row r="509" spans="1:35" ht="1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32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</row>
    <row r="510" spans="1:35" ht="1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32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</row>
    <row r="511" spans="1:35" ht="1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32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</row>
    <row r="512" spans="1:35" ht="1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32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</row>
    <row r="513" spans="1:35" ht="1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32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</row>
    <row r="514" spans="1:35" ht="1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32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</row>
    <row r="515" spans="1:35" ht="1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32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</row>
    <row r="516" spans="1:35" ht="1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32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</row>
    <row r="517" spans="1:35" ht="1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32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</row>
    <row r="518" spans="1:35" ht="1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32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</row>
    <row r="519" spans="1:35" ht="1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32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</row>
    <row r="520" spans="1:35" ht="1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32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</row>
    <row r="521" spans="1:35" ht="1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32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</row>
    <row r="522" spans="1:35" ht="1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32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</row>
    <row r="523" spans="1:35" ht="1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32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</row>
    <row r="524" spans="1:35" ht="1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32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</row>
    <row r="525" spans="1:35" ht="1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32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</row>
    <row r="526" spans="1:35" ht="1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32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</row>
    <row r="527" spans="1:35" ht="1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32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</row>
    <row r="528" spans="1:35" ht="1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32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</row>
    <row r="529" spans="1:35" ht="1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32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</row>
    <row r="530" spans="1:35" ht="1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32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</row>
    <row r="531" spans="1:35" ht="1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32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</row>
    <row r="532" spans="1:35" ht="1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32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</row>
    <row r="533" spans="1:35" ht="1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32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</row>
    <row r="534" spans="1:35" ht="1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32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</row>
    <row r="535" spans="1:35" ht="1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32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</row>
    <row r="536" spans="1:35" ht="1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32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</row>
    <row r="537" spans="1:35" ht="1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32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</row>
    <row r="538" spans="1:35" ht="1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32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</row>
    <row r="539" spans="1:35" ht="1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32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</row>
    <row r="540" spans="1:35" ht="1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32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</row>
    <row r="541" spans="1:35" ht="1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32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</row>
    <row r="542" spans="1:35" ht="1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32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</row>
    <row r="543" spans="1:35" ht="1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32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</row>
    <row r="544" spans="1:35" ht="1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32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</row>
    <row r="545" spans="1:35" ht="1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32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</row>
    <row r="546" spans="1:35" ht="1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32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</row>
    <row r="547" spans="1:35" ht="1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32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</row>
    <row r="548" spans="1:35" ht="1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32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</row>
    <row r="549" spans="1:35" ht="1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32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</row>
    <row r="550" spans="1:35" ht="1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32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</row>
    <row r="551" spans="1:35" ht="1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32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</row>
    <row r="552" spans="1:35" ht="1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32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</row>
    <row r="553" spans="1:35" ht="1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32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</row>
    <row r="554" spans="1:35" ht="1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32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</row>
    <row r="555" spans="1:35" ht="1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32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</row>
    <row r="556" spans="1:35" ht="1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32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</row>
    <row r="557" spans="1:35" ht="1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32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</row>
    <row r="558" spans="1:35" ht="1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32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</row>
    <row r="559" spans="1:35" ht="1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32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</row>
    <row r="560" spans="1:35" ht="1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32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</row>
    <row r="561" spans="1:35" ht="1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32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</row>
    <row r="562" spans="1:35" ht="1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32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</row>
    <row r="563" spans="1:35" ht="1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32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</row>
    <row r="564" spans="1:35" ht="1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32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</row>
    <row r="565" spans="1:35" ht="1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32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</row>
    <row r="566" spans="1:35" ht="1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32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</row>
    <row r="567" spans="1:35" ht="1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32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</row>
    <row r="568" spans="1:35" ht="1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32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</row>
    <row r="569" spans="1:35" ht="1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32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</row>
    <row r="570" spans="1:35" ht="1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32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</row>
    <row r="571" spans="1:35" ht="1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32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</row>
    <row r="572" spans="1:35" ht="1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32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</row>
    <row r="573" spans="1:35" ht="1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32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</row>
    <row r="574" spans="1:35" ht="1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32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</row>
    <row r="575" spans="1:35" ht="1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32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</row>
    <row r="576" spans="1:35" ht="1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32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</row>
    <row r="577" spans="1:35" ht="1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32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</row>
    <row r="578" spans="1:35" ht="1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32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</row>
    <row r="579" spans="1:35" ht="1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32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</row>
    <row r="580" spans="1:35" ht="1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32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</row>
    <row r="581" spans="1:35" ht="1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32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</row>
    <row r="582" spans="1:35" ht="1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32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</row>
    <row r="583" spans="1:35" ht="1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32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</row>
    <row r="584" spans="1:35" ht="1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32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</row>
    <row r="585" spans="1:35" ht="1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32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</row>
    <row r="586" spans="1:35" ht="1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32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</row>
    <row r="587" spans="1:35" ht="1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32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</row>
    <row r="588" spans="1:35" ht="1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32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</row>
    <row r="589" spans="1:35" ht="1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32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</row>
    <row r="590" spans="1:35" ht="1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32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</row>
    <row r="591" spans="1:35" ht="1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32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</row>
    <row r="592" spans="1:35" ht="1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32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</row>
    <row r="593" spans="1:35" ht="1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32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</row>
    <row r="594" spans="1:35" ht="1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32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</row>
    <row r="595" spans="1:35" ht="1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32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</row>
    <row r="596" spans="1:35" ht="1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32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</row>
    <row r="597" spans="1:35" ht="1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32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</row>
    <row r="598" spans="1:35" ht="1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32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</row>
    <row r="599" spans="1:35" ht="1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32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</row>
    <row r="600" spans="1:35" ht="1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32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</row>
    <row r="601" spans="1:35" ht="1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32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</row>
    <row r="602" spans="1:35" ht="1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32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</row>
    <row r="603" spans="1:35" ht="1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32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</row>
    <row r="604" spans="1:35" ht="1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32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</row>
    <row r="605" spans="1:35" ht="1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32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</row>
    <row r="606" spans="1:35" ht="1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32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</row>
    <row r="607" spans="1:35" ht="1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32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</row>
    <row r="608" spans="1:35" ht="1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32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</row>
    <row r="609" spans="1:35" ht="1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32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</row>
    <row r="610" spans="1:35" ht="1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32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</row>
    <row r="611" spans="1:35" ht="1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32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</row>
    <row r="612" spans="1:35" ht="1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32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</row>
    <row r="613" spans="1:35" ht="1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32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</row>
    <row r="614" spans="1:35" ht="1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32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</row>
    <row r="615" spans="1:35" ht="1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32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</row>
    <row r="616" spans="1:35" ht="1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32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</row>
    <row r="617" spans="1:35" ht="1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32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</row>
    <row r="618" spans="1:35" ht="1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32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</row>
    <row r="619" spans="1:35" ht="1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32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</row>
    <row r="620" spans="1:35" ht="1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32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</row>
    <row r="621" spans="1:35" ht="1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32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</row>
    <row r="622" spans="1:35" ht="1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32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</row>
    <row r="623" spans="1:35" ht="1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32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</row>
    <row r="624" spans="1:35" ht="1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32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</row>
    <row r="625" spans="1:35" ht="1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32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</row>
    <row r="626" spans="1:35" ht="1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32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</row>
    <row r="627" spans="1:35" ht="1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32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</row>
    <row r="628" spans="1:35" ht="1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32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</row>
    <row r="629" spans="1:35" ht="1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32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</row>
    <row r="630" spans="1:35" ht="1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32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</row>
    <row r="631" spans="1:35" ht="1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32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</row>
    <row r="632" spans="1:35" ht="1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32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</row>
    <row r="633" spans="1:35" ht="1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32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</row>
    <row r="634" spans="1:35" ht="1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32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</row>
    <row r="635" spans="1:35" ht="1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32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</row>
    <row r="636" spans="1:35" ht="1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32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</row>
    <row r="637" spans="1:35" ht="1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32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</row>
    <row r="638" spans="1:35" ht="1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32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</row>
    <row r="639" spans="1:35" ht="1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32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</row>
    <row r="640" spans="1:35" ht="1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32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</row>
    <row r="641" spans="1:35" ht="1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32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</row>
    <row r="642" spans="1:35" ht="1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32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</row>
    <row r="643" spans="1:35" ht="1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32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</row>
    <row r="644" spans="1:35" ht="1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32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</row>
    <row r="645" spans="1:35" ht="1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32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</row>
    <row r="646" spans="1:35" ht="1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32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</row>
    <row r="647" spans="1:35" ht="1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32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</row>
    <row r="648" spans="1:35" ht="1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32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</row>
    <row r="649" spans="1:35" ht="1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32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</row>
    <row r="650" spans="1:35" ht="1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32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</row>
    <row r="651" spans="1:35" ht="1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32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</row>
    <row r="652" spans="1:35" ht="1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32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</row>
    <row r="653" spans="1:35" ht="1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32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</row>
    <row r="654" spans="1:35" ht="1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32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</row>
    <row r="655" spans="1:35" ht="1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32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</row>
    <row r="656" spans="1:35" ht="1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32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</row>
    <row r="657" spans="1:35" ht="1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32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</row>
    <row r="658" spans="1:35" ht="1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32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</row>
    <row r="659" spans="1:35" ht="1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32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</row>
    <row r="660" spans="1:35" ht="1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32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</row>
    <row r="661" spans="1:35" ht="1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32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</row>
    <row r="662" spans="1:35" ht="1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32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</row>
    <row r="663" spans="1:35" ht="1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32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</row>
    <row r="664" spans="1:35" ht="1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32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</row>
    <row r="665" spans="1:35" ht="1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32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</row>
    <row r="666" spans="1:35" ht="1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32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</row>
    <row r="667" spans="1:35" ht="1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32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</row>
    <row r="668" spans="1:35" ht="1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32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</row>
    <row r="669" spans="1:35" ht="1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32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</row>
    <row r="670" spans="1:35" ht="1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32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</row>
    <row r="671" spans="1:35" ht="1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32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</row>
    <row r="672" spans="1:35" ht="1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32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</row>
    <row r="673" spans="1:35" ht="1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32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</row>
    <row r="674" spans="1:35" ht="1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32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</row>
    <row r="675" spans="1:35" ht="1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32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</row>
    <row r="676" spans="1:35" ht="1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32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</row>
    <row r="677" spans="1:35" ht="1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32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</row>
    <row r="678" spans="1:35" ht="1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32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</row>
    <row r="679" spans="1:35" ht="1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32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</row>
    <row r="680" spans="1:35" ht="1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32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</row>
    <row r="681" spans="1:35" ht="1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32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</row>
    <row r="682" spans="1:35" ht="1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32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</row>
    <row r="683" spans="1:35" ht="1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32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</row>
    <row r="684" spans="1:35" ht="1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32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</row>
    <row r="685" spans="1:35" ht="1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32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</row>
    <row r="686" spans="1:35" ht="1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32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</row>
    <row r="687" spans="1:35" ht="1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32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</row>
    <row r="688" spans="1:35" ht="1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32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</row>
    <row r="689" spans="1:35" ht="1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32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</row>
    <row r="690" spans="1:35" ht="1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32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</row>
    <row r="691" spans="1:35" ht="1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32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</row>
    <row r="692" spans="1:35" ht="1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32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</row>
    <row r="693" spans="1:35" ht="1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32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</row>
    <row r="694" spans="1:35" ht="1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32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</row>
    <row r="695" spans="1:35" ht="1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32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</row>
    <row r="696" spans="1:35" ht="1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32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</row>
    <row r="697" spans="1:35" ht="1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32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</row>
    <row r="698" spans="1:35" ht="1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32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</row>
    <row r="699" spans="1:35" ht="1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32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</row>
    <row r="700" spans="1:35" ht="1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32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</row>
    <row r="701" spans="1:35" ht="1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32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</row>
    <row r="702" spans="1:35" ht="1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32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</row>
    <row r="703" spans="1:35" ht="1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32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</row>
    <row r="704" spans="1:35" ht="1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32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</row>
    <row r="705" spans="1:35" ht="1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32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</row>
    <row r="706" spans="1:35" ht="1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32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</row>
    <row r="707" spans="1:35" ht="1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32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</row>
    <row r="708" spans="1:35" ht="1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32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</row>
    <row r="709" spans="1:35" ht="1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32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</row>
    <row r="710" spans="1:35" ht="1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32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</row>
    <row r="711" spans="1:35" ht="1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32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</row>
    <row r="712" spans="1:35" ht="1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32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</row>
    <row r="713" spans="1:35" ht="1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32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</row>
    <row r="714" spans="1:35" ht="1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32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</row>
    <row r="715" spans="1:35" ht="1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32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</row>
    <row r="716" spans="1:35" ht="1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32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</row>
    <row r="717" spans="1:35" ht="1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32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</row>
    <row r="718" spans="1:35" ht="1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32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</row>
    <row r="719" spans="1:35" ht="1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32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</row>
    <row r="720" spans="1:35" ht="1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32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</row>
    <row r="721" spans="1:35" ht="1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32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</row>
    <row r="722" spans="1:35" ht="1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32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</row>
    <row r="723" spans="1:35" ht="1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32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</row>
    <row r="724" spans="1:35" ht="1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32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</row>
    <row r="725" spans="1:35" ht="1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32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</row>
    <row r="726" spans="1:35" ht="1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32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</row>
    <row r="727" spans="1:35" ht="1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32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</row>
    <row r="728" spans="1:35" ht="1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32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</row>
    <row r="729" spans="1:35" ht="1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32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</row>
    <row r="730" spans="1:35" ht="1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32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</row>
    <row r="731" spans="1:35" ht="1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32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</row>
    <row r="732" spans="1:35" ht="1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32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</row>
    <row r="733" spans="1:35" ht="1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32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</row>
    <row r="734" spans="1:35" ht="1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32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</row>
    <row r="735" spans="1:35" ht="1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32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</row>
    <row r="736" spans="1:35" ht="1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32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</row>
    <row r="737" spans="1:35" ht="1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32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</row>
    <row r="738" spans="1:35" ht="1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32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</row>
    <row r="739" spans="1:35" ht="1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32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</row>
    <row r="740" spans="1:35" ht="1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32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</row>
    <row r="741" spans="1:35" ht="1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32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</row>
    <row r="742" spans="1:35" ht="1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32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</row>
    <row r="743" spans="1:35" ht="1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32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</row>
    <row r="744" spans="1:35" ht="1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32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</row>
    <row r="745" spans="1:35" ht="1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32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</row>
    <row r="746" spans="1:35" ht="1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32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</row>
    <row r="747" spans="1:35" ht="1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32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</row>
    <row r="748" spans="1:35" ht="1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32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</row>
    <row r="749" spans="1:35" ht="1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32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</row>
    <row r="750" spans="1:35" ht="1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32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</row>
    <row r="751" spans="1:35" ht="1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32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</row>
    <row r="752" spans="1:35" ht="1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32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</row>
    <row r="753" spans="1:35" ht="1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32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</row>
    <row r="754" spans="1:35" ht="1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32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</row>
    <row r="755" spans="1:35" ht="1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32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</row>
    <row r="756" spans="1:35" ht="1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32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</row>
    <row r="757" spans="1:35" ht="1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32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</row>
    <row r="758" spans="1:35" ht="1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32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</row>
    <row r="759" spans="1:35" ht="1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32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</row>
    <row r="760" spans="1:35" ht="1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32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</row>
    <row r="761" spans="1:35" ht="1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32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</row>
    <row r="762" spans="1:35" ht="1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32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</row>
    <row r="763" spans="1:35" ht="1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32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</row>
    <row r="764" spans="1:35" ht="1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32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</row>
    <row r="765" spans="1:35" ht="1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32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</row>
    <row r="766" spans="1:35" ht="1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32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</row>
    <row r="767" spans="1:35" ht="1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32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</row>
    <row r="768" spans="1:35" ht="1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32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</row>
    <row r="769" spans="1:35" ht="1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32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</row>
    <row r="770" spans="1:35" ht="1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32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</row>
    <row r="771" spans="1:35" ht="1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32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</row>
    <row r="772" spans="1:35" ht="1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32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</row>
    <row r="773" spans="1:35" ht="1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32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</row>
    <row r="774" spans="1:35" ht="1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32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</row>
    <row r="775" spans="1:35" ht="1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32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</row>
    <row r="776" spans="1:35" ht="1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32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</row>
    <row r="777" spans="1:35" ht="1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32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</row>
    <row r="778" spans="1:35" ht="1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32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</row>
    <row r="779" spans="1:35" ht="1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32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</row>
    <row r="780" spans="1:35" ht="1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32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</row>
    <row r="781" spans="1:35" ht="1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32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</row>
    <row r="782" spans="1:35" ht="1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32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</row>
    <row r="783" spans="1:35" ht="1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32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</row>
    <row r="784" spans="1:35" ht="1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32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</row>
    <row r="785" spans="1:35" ht="1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32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</row>
    <row r="786" spans="1:35" ht="1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32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</row>
    <row r="787" spans="1:35" ht="1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32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</row>
    <row r="788" spans="1:35" ht="1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32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</row>
    <row r="789" spans="1:35" ht="1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32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</row>
    <row r="790" spans="1:35" ht="1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32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</row>
    <row r="791" spans="1:35" ht="1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32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</row>
    <row r="792" spans="1:35" ht="1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32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</row>
    <row r="793" spans="1:35" ht="1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32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</row>
    <row r="794" spans="1:35" ht="1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32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</row>
    <row r="795" spans="1:35" ht="1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32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</row>
    <row r="796" spans="1:35" ht="1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32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</row>
    <row r="797" spans="1:35" ht="1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32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</row>
    <row r="798" spans="1:35" ht="1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32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</row>
    <row r="799" spans="1:35" ht="1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32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</row>
    <row r="800" spans="1:35" ht="1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32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</row>
    <row r="801" spans="1:35" ht="1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32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</row>
    <row r="802" spans="1:35" ht="1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32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</row>
    <row r="803" spans="1:35" ht="1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32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</row>
    <row r="804" spans="1:35" ht="1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32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</row>
    <row r="805" spans="1:35" ht="1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32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</row>
    <row r="806" spans="1:35" ht="1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32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</row>
    <row r="807" spans="1:35" ht="1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32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</row>
    <row r="808" spans="1:35" ht="1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32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</row>
    <row r="809" spans="1:35" ht="1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32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</row>
    <row r="810" spans="1:35" ht="1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32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</row>
    <row r="811" spans="1:35" ht="1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32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</row>
    <row r="812" spans="1:35" ht="1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32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</row>
    <row r="813" spans="1:35" ht="1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32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</row>
    <row r="814" spans="1:35" ht="1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32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</row>
    <row r="815" spans="1:35" ht="1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32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</row>
    <row r="816" spans="1:35" ht="1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32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</row>
    <row r="817" spans="1:35" ht="1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32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</row>
    <row r="818" spans="1:35" ht="1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32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</row>
    <row r="819" spans="1:35" ht="1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32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</row>
    <row r="820" spans="1:35" ht="1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32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</row>
    <row r="821" spans="1:35" ht="1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32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</row>
    <row r="822" spans="1:35" ht="1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32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</row>
    <row r="823" spans="1:35" ht="1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32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</row>
    <row r="824" spans="1:35" ht="1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32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</row>
    <row r="825" spans="1:35" ht="1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32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</row>
    <row r="826" spans="1:35" ht="1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32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</row>
    <row r="827" spans="1:35" ht="1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32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</row>
    <row r="828" spans="1:35" ht="1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32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</row>
    <row r="829" spans="1:35" ht="1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32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</row>
    <row r="830" spans="1:35" ht="1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32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</row>
    <row r="831" spans="1:35" ht="1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32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</row>
    <row r="832" spans="1:35" ht="1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32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</row>
    <row r="833" spans="1:35" ht="1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32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</row>
    <row r="834" spans="1:35" ht="1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32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</row>
    <row r="835" spans="1:35" ht="1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32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</row>
    <row r="836" spans="1:35" ht="1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32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</row>
    <row r="837" spans="1:35" ht="1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32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</row>
    <row r="838" spans="1:35" ht="1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32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</row>
    <row r="839" spans="1:35" ht="1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32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</row>
    <row r="840" spans="1:35" ht="1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32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</row>
    <row r="841" spans="1:35" ht="1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32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</row>
    <row r="842" spans="1:35" ht="1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32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</row>
    <row r="843" spans="1:35" ht="1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32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</row>
    <row r="844" spans="1:35" ht="1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32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</row>
    <row r="845" spans="1:35" ht="1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32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</row>
    <row r="846" spans="1:35" ht="1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32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</row>
    <row r="847" spans="1:35" ht="1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32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</row>
    <row r="848" spans="1:35" ht="1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32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</row>
    <row r="849" spans="1:35" ht="1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32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</row>
    <row r="850" spans="1:35" ht="1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32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</row>
    <row r="851" spans="1:35" ht="1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32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</row>
    <row r="852" spans="1:35" ht="1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32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</row>
    <row r="853" spans="1:35" ht="1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32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</row>
    <row r="854" spans="1:35" ht="1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32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</row>
    <row r="855" spans="1:35" ht="1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32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</row>
    <row r="856" spans="1:35" ht="1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32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</row>
    <row r="857" spans="1:35" ht="1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32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</row>
    <row r="858" spans="1:35" ht="1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32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</row>
    <row r="859" spans="1:35" ht="1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32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</row>
    <row r="860" spans="1:35" ht="1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32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</row>
    <row r="861" spans="1:35" ht="1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32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</row>
    <row r="862" spans="1:35" ht="1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32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</row>
    <row r="863" spans="1:35" ht="1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32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</row>
    <row r="864" spans="1:35" ht="1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32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</row>
    <row r="865" spans="1:35" ht="1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32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</row>
    <row r="866" spans="1:35" ht="1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32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</row>
    <row r="867" spans="1:35" ht="1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32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</row>
    <row r="868" spans="1:35" ht="1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32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</row>
    <row r="869" spans="1:35" ht="1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32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</row>
    <row r="870" spans="1:35" ht="1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32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</row>
    <row r="871" spans="1:35" ht="1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32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</row>
    <row r="872" spans="1:35" ht="1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32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</row>
    <row r="873" spans="1:35" ht="1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32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</row>
    <row r="874" spans="1:35" ht="1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32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</row>
    <row r="875" spans="1:35" ht="1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32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</row>
    <row r="876" spans="1:35" ht="1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32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</row>
    <row r="877" spans="1:35" ht="1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32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</row>
    <row r="878" spans="1:35" ht="1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32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</row>
    <row r="879" spans="1:35" ht="1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32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</row>
    <row r="880" spans="1:35" ht="1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32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</row>
    <row r="881" spans="1:35" ht="1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32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</row>
    <row r="882" spans="1:35" ht="1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32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</row>
    <row r="883" spans="1:35" ht="1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32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</row>
    <row r="884" spans="1:35" ht="1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32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</row>
    <row r="885" spans="1:35" ht="1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32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</row>
    <row r="886" spans="1:35" ht="1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32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</row>
    <row r="887" spans="1:35" ht="1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32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</row>
    <row r="888" spans="1:35" ht="1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32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</row>
    <row r="889" spans="1:35" ht="1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32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</row>
    <row r="890" spans="1:35" ht="1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32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</row>
    <row r="891" spans="1:35" ht="1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32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</row>
    <row r="892" spans="1:35" ht="1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32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</row>
    <row r="893" spans="1:35" ht="1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32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</row>
    <row r="894" spans="1:35" ht="1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32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</row>
    <row r="895" spans="1:35" ht="1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32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</row>
    <row r="896" spans="1:35" ht="1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32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</row>
    <row r="897" spans="1:35" ht="1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32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</row>
    <row r="898" spans="1:35" ht="1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32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</row>
    <row r="899" spans="1:35" ht="1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32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</row>
    <row r="900" spans="1:35" ht="1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32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</row>
    <row r="901" spans="1:35" ht="1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32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</row>
    <row r="902" spans="1:35" ht="1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32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</row>
    <row r="903" spans="1:35" ht="1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32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</row>
    <row r="904" spans="1:35" ht="1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32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</row>
    <row r="905" spans="1:35" ht="1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32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</row>
    <row r="906" spans="1:35" ht="1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32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</row>
    <row r="907" spans="1:35" ht="1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32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</row>
    <row r="908" spans="1:35" ht="1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32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</row>
    <row r="909" spans="1:35" ht="1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32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</row>
    <row r="910" spans="1:35" ht="1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32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</row>
    <row r="911" spans="1:35" ht="1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32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</row>
    <row r="912" spans="1:35" ht="1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32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</row>
    <row r="913" spans="1:35" ht="1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32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</row>
    <row r="914" spans="1:35" ht="1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32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</row>
    <row r="915" spans="1:35" ht="1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32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</row>
    <row r="916" spans="1:35" ht="1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32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</row>
    <row r="917" spans="1:35" ht="1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32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</row>
    <row r="918" spans="1:35" ht="1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32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</row>
    <row r="919" spans="1:35" ht="1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32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</row>
    <row r="920" spans="1:35" ht="1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32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</row>
    <row r="921" spans="1:35" ht="1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32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</row>
    <row r="922" spans="1:35" ht="1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32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</row>
    <row r="923" spans="1:35" ht="1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32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</row>
    <row r="924" spans="1:35" ht="1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32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</row>
    <row r="925" spans="1:35" ht="1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32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</row>
    <row r="926" spans="1:35" ht="1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32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</row>
    <row r="927" spans="1:35" ht="1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32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</row>
    <row r="928" spans="1:35" ht="1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32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</row>
    <row r="929" spans="1:35" ht="1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32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</row>
    <row r="930" spans="1:35" ht="1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32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</row>
    <row r="931" spans="1:35" ht="1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32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</row>
    <row r="932" spans="1:35" ht="1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32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</row>
    <row r="933" spans="1:35" ht="1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32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</row>
    <row r="934" spans="1:35" ht="1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32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</row>
    <row r="935" spans="1:35" ht="1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32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</row>
    <row r="936" spans="1:35" ht="1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32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</row>
    <row r="937" spans="1:35" ht="1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32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</row>
    <row r="938" spans="1:35" ht="1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32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</row>
    <row r="939" spans="1:35" ht="1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32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</row>
    <row r="940" spans="1:35" ht="1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32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</row>
    <row r="941" spans="1:35" ht="1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32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</row>
    <row r="942" spans="1:35" ht="1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32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</row>
    <row r="943" spans="1:35" ht="1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32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</row>
    <row r="944" spans="1:35" ht="1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32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</row>
    <row r="945" spans="1:35" ht="1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32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</row>
    <row r="946" spans="1:35" ht="1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32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</row>
    <row r="947" spans="1:35" ht="1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32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</row>
    <row r="948" spans="1:35" ht="1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32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</row>
    <row r="949" spans="1:35" ht="1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32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</row>
    <row r="950" spans="1:35" ht="1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32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</row>
    <row r="951" spans="1:35" ht="1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32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</row>
    <row r="952" spans="1:35" ht="1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32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</row>
    <row r="953" spans="1:35" ht="1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32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</row>
    <row r="954" spans="1:35" ht="1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32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</row>
    <row r="955" spans="1:35" ht="1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32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</row>
    <row r="956" spans="1:35" ht="1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32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</row>
    <row r="957" spans="1:35" ht="1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32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</row>
    <row r="958" spans="1:35" ht="1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32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</row>
    <row r="959" spans="1:35" ht="1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32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</row>
    <row r="960" spans="1:35" ht="1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32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</row>
    <row r="961" spans="1:35" ht="1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32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</row>
    <row r="962" spans="1:35" ht="1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32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</row>
    <row r="963" spans="1:35" ht="1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32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</row>
    <row r="964" spans="1:35" ht="1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32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</row>
    <row r="965" spans="1:35" ht="1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32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</row>
    <row r="966" spans="1:35" ht="1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32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</row>
    <row r="967" spans="1:35" ht="1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32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</row>
    <row r="968" spans="1:35" ht="1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32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</row>
    <row r="969" spans="1:35" ht="1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32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</row>
    <row r="970" spans="1:35" ht="1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32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</row>
    <row r="971" spans="1:35" ht="1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32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</row>
    <row r="972" spans="1:35" ht="1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32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</row>
    <row r="973" spans="1:35" ht="1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32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</row>
    <row r="974" spans="1:35" ht="1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32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</row>
    <row r="975" spans="1:35" ht="1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32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</row>
    <row r="976" spans="1:35" ht="1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32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</row>
    <row r="977" spans="1:35" ht="1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32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</row>
    <row r="978" spans="1:35" ht="1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32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</row>
    <row r="979" spans="1:35" ht="1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32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</row>
    <row r="980" spans="1:35" ht="1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32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</row>
    <row r="981" spans="1:35" ht="1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32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</row>
    <row r="982" spans="1:35" ht="1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32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</row>
    <row r="983" spans="1:35" ht="1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32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</row>
    <row r="984" spans="1:35" ht="1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32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</row>
    <row r="985" spans="1:35" ht="1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32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</row>
    <row r="986" spans="1:35" ht="1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32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</row>
    <row r="987" spans="1:35" ht="1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32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</row>
    <row r="988" spans="1:35" ht="1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32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</row>
    <row r="989" spans="1:35" ht="1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32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</row>
    <row r="990" spans="1:35" ht="1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32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</row>
    <row r="991" spans="1:35" ht="1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32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</row>
    <row r="992" spans="1:35" ht="1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32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</row>
    <row r="993" spans="1:35" ht="1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32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</row>
    <row r="994" spans="1:35" ht="1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32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</row>
    <row r="995" spans="1:35" ht="1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32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</row>
    <row r="996" spans="1:35" ht="1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32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</row>
    <row r="997" spans="1:35" ht="1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32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</row>
    <row r="998" spans="1:35" ht="1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32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</row>
    <row r="999" spans="1:35" ht="1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32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</row>
    <row r="1000" spans="1:35" ht="1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32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</row>
  </sheetData>
  <phoneticPr fontId="251" type="noConversion"/>
  <hyperlinks>
    <hyperlink ref="C2" r:id="rId1" xr:uid="{00000000-0004-0000-0700-000000000000}"/>
    <hyperlink ref="I2" r:id="rId2" xr:uid="{00000000-0004-0000-0700-000001000000}"/>
    <hyperlink ref="C3" r:id="rId3" xr:uid="{00000000-0004-0000-0700-000002000000}"/>
    <hyperlink ref="E3" r:id="rId4" xr:uid="{00000000-0004-0000-0700-000003000000}"/>
    <hyperlink ref="I3" r:id="rId5" xr:uid="{00000000-0004-0000-0700-000004000000}"/>
    <hyperlink ref="Q3" r:id="rId6" xr:uid="{00000000-0004-0000-0700-000005000000}"/>
    <hyperlink ref="C4" r:id="rId7" xr:uid="{00000000-0004-0000-0700-000006000000}"/>
    <hyperlink ref="E4" r:id="rId8" xr:uid="{00000000-0004-0000-0700-000007000000}"/>
    <hyperlink ref="I4" r:id="rId9" xr:uid="{00000000-0004-0000-0700-000008000000}"/>
    <hyperlink ref="Q4" r:id="rId10" xr:uid="{00000000-0004-0000-0700-000009000000}"/>
    <hyperlink ref="C5" r:id="rId11" xr:uid="{00000000-0004-0000-0700-00000A000000}"/>
    <hyperlink ref="I5" r:id="rId12" xr:uid="{00000000-0004-0000-0700-00000B000000}"/>
    <hyperlink ref="C6" r:id="rId13" xr:uid="{00000000-0004-0000-0700-00000C000000}"/>
    <hyperlink ref="E6" r:id="rId14" xr:uid="{00000000-0004-0000-0700-00000D000000}"/>
    <hyperlink ref="I6" r:id="rId15" xr:uid="{00000000-0004-0000-0700-00000E000000}"/>
    <hyperlink ref="C7" r:id="rId16" xr:uid="{00000000-0004-0000-0700-00000F000000}"/>
    <hyperlink ref="E7" r:id="rId17" xr:uid="{00000000-0004-0000-0700-000010000000}"/>
    <hyperlink ref="I7" r:id="rId18" xr:uid="{00000000-0004-0000-0700-000011000000}"/>
    <hyperlink ref="Q7" r:id="rId19" xr:uid="{00000000-0004-0000-0700-000012000000}"/>
    <hyperlink ref="C8" r:id="rId20" xr:uid="{00000000-0004-0000-0700-000013000000}"/>
    <hyperlink ref="E8" r:id="rId21" xr:uid="{00000000-0004-0000-0700-000014000000}"/>
    <hyperlink ref="I8" r:id="rId22" xr:uid="{00000000-0004-0000-0700-000015000000}"/>
    <hyperlink ref="Q8" r:id="rId23" xr:uid="{00000000-0004-0000-0700-000016000000}"/>
    <hyperlink ref="C9" r:id="rId24" xr:uid="{00000000-0004-0000-0700-000017000000}"/>
    <hyperlink ref="E9" r:id="rId25" xr:uid="{00000000-0004-0000-0700-000018000000}"/>
    <hyperlink ref="I9" r:id="rId26" xr:uid="{00000000-0004-0000-0700-000019000000}"/>
    <hyperlink ref="C10" r:id="rId27" xr:uid="{00000000-0004-0000-0700-00001A000000}"/>
    <hyperlink ref="I10" r:id="rId28" xr:uid="{00000000-0004-0000-0700-00001B000000}"/>
    <hyperlink ref="C11" r:id="rId29" xr:uid="{00000000-0004-0000-0700-00001C000000}"/>
    <hyperlink ref="E11" r:id="rId30" xr:uid="{00000000-0004-0000-0700-00001D000000}"/>
    <hyperlink ref="I11" r:id="rId31" xr:uid="{00000000-0004-0000-0700-00001E000000}"/>
    <hyperlink ref="Q11" r:id="rId32" xr:uid="{00000000-0004-0000-0700-00001F000000}"/>
    <hyperlink ref="C12" r:id="rId33" xr:uid="{00000000-0004-0000-0700-000020000000}"/>
    <hyperlink ref="E12" r:id="rId34" xr:uid="{00000000-0004-0000-0700-000021000000}"/>
    <hyperlink ref="I12" r:id="rId35" xr:uid="{00000000-0004-0000-0700-000022000000}"/>
    <hyperlink ref="C13" r:id="rId36" xr:uid="{00000000-0004-0000-0700-000023000000}"/>
    <hyperlink ref="E13" r:id="rId37" xr:uid="{00000000-0004-0000-0700-000024000000}"/>
    <hyperlink ref="I13" r:id="rId38" xr:uid="{00000000-0004-0000-0700-000025000000}"/>
    <hyperlink ref="Q13" r:id="rId39" xr:uid="{00000000-0004-0000-0700-000026000000}"/>
    <hyperlink ref="E14" r:id="rId40" xr:uid="{00000000-0004-0000-0700-000027000000}"/>
    <hyperlink ref="Q14" r:id="rId41" xr:uid="{00000000-0004-0000-0700-000028000000}"/>
    <hyperlink ref="C15" r:id="rId42" xr:uid="{00000000-0004-0000-0700-000029000000}"/>
    <hyperlink ref="E15" r:id="rId43" xr:uid="{00000000-0004-0000-0700-00002A000000}"/>
    <hyperlink ref="I15" r:id="rId44" xr:uid="{00000000-0004-0000-0700-00002B000000}"/>
    <hyperlink ref="Q15" r:id="rId45" xr:uid="{00000000-0004-0000-0700-00002C000000}"/>
    <hyperlink ref="C16" r:id="rId46" xr:uid="{00000000-0004-0000-0700-00002D000000}"/>
    <hyperlink ref="E16" r:id="rId47" xr:uid="{00000000-0004-0000-0700-00002E000000}"/>
    <hyperlink ref="I16" r:id="rId48" xr:uid="{00000000-0004-0000-0700-00002F000000}"/>
    <hyperlink ref="E17" r:id="rId49" xr:uid="{00000000-0004-0000-0700-000030000000}"/>
    <hyperlink ref="I17" r:id="rId50" xr:uid="{00000000-0004-0000-0700-000031000000}"/>
    <hyperlink ref="Q17" r:id="rId51" xr:uid="{00000000-0004-0000-0700-000032000000}"/>
    <hyperlink ref="C18" r:id="rId52" xr:uid="{00000000-0004-0000-0700-000033000000}"/>
    <hyperlink ref="E18" r:id="rId53" xr:uid="{00000000-0004-0000-0700-000034000000}"/>
    <hyperlink ref="I18" r:id="rId54" xr:uid="{00000000-0004-0000-0700-000035000000}"/>
    <hyperlink ref="Q18" r:id="rId55" xr:uid="{00000000-0004-0000-0700-000036000000}"/>
    <hyperlink ref="C19" r:id="rId56" xr:uid="{00000000-0004-0000-0700-000037000000}"/>
    <hyperlink ref="E19" r:id="rId57" xr:uid="{00000000-0004-0000-0700-000038000000}"/>
    <hyperlink ref="I19" r:id="rId58" xr:uid="{00000000-0004-0000-0700-000039000000}"/>
    <hyperlink ref="Q19" r:id="rId59" xr:uid="{00000000-0004-0000-0700-00003A000000}"/>
    <hyperlink ref="C20" r:id="rId60" xr:uid="{00000000-0004-0000-0700-00003B000000}"/>
    <hyperlink ref="I20" r:id="rId61" xr:uid="{00000000-0004-0000-0700-00003C000000}"/>
    <hyperlink ref="C21" r:id="rId62" xr:uid="{00000000-0004-0000-0700-00003D000000}"/>
    <hyperlink ref="E21" r:id="rId63" xr:uid="{00000000-0004-0000-0700-00003E000000}"/>
    <hyperlink ref="I21" r:id="rId64" xr:uid="{00000000-0004-0000-0700-00003F000000}"/>
    <hyperlink ref="Q21" r:id="rId65" xr:uid="{00000000-0004-0000-0700-000040000000}"/>
    <hyperlink ref="C22" r:id="rId66" xr:uid="{00000000-0004-0000-0700-000041000000}"/>
    <hyperlink ref="E22" r:id="rId67" xr:uid="{00000000-0004-0000-0700-000042000000}"/>
    <hyperlink ref="I22" r:id="rId68" xr:uid="{00000000-0004-0000-0700-000043000000}"/>
    <hyperlink ref="Q22" r:id="rId69" xr:uid="{00000000-0004-0000-0700-000044000000}"/>
    <hyperlink ref="C23" r:id="rId70" xr:uid="{00000000-0004-0000-0700-000045000000}"/>
    <hyperlink ref="I23" r:id="rId71" xr:uid="{00000000-0004-0000-0700-000046000000}"/>
    <hyperlink ref="C24" r:id="rId72" xr:uid="{00000000-0004-0000-0700-000047000000}"/>
    <hyperlink ref="E24" r:id="rId73" xr:uid="{00000000-0004-0000-0700-000048000000}"/>
    <hyperlink ref="I24" r:id="rId74" xr:uid="{00000000-0004-0000-0700-000049000000}"/>
    <hyperlink ref="Q24" r:id="rId75" xr:uid="{00000000-0004-0000-0700-00004A000000}"/>
    <hyperlink ref="C25" r:id="rId76" xr:uid="{00000000-0004-0000-0700-00004B000000}"/>
    <hyperlink ref="E25" r:id="rId77" xr:uid="{00000000-0004-0000-0700-00004C000000}"/>
    <hyperlink ref="I25" r:id="rId78" xr:uid="{00000000-0004-0000-0700-00004D000000}"/>
    <hyperlink ref="Q25" r:id="rId79" xr:uid="{00000000-0004-0000-0700-00004E000000}"/>
    <hyperlink ref="C26" r:id="rId80" xr:uid="{00000000-0004-0000-0700-00004F000000}"/>
    <hyperlink ref="E26" r:id="rId81" xr:uid="{00000000-0004-0000-0700-000050000000}"/>
    <hyperlink ref="I26" r:id="rId82" xr:uid="{00000000-0004-0000-0700-000051000000}"/>
    <hyperlink ref="Q26" r:id="rId83" xr:uid="{00000000-0004-0000-0700-000052000000}"/>
    <hyperlink ref="C27" r:id="rId84" xr:uid="{00000000-0004-0000-0700-000053000000}"/>
    <hyperlink ref="E27" r:id="rId85" xr:uid="{00000000-0004-0000-0700-000054000000}"/>
    <hyperlink ref="I27" r:id="rId86" xr:uid="{00000000-0004-0000-0700-000055000000}"/>
    <hyperlink ref="Q27" r:id="rId87" xr:uid="{00000000-0004-0000-0700-000056000000}"/>
    <hyperlink ref="C28" r:id="rId88" xr:uid="{00000000-0004-0000-0700-000057000000}"/>
    <hyperlink ref="E28" r:id="rId89" xr:uid="{00000000-0004-0000-0700-000058000000}"/>
    <hyperlink ref="I28" r:id="rId90" xr:uid="{00000000-0004-0000-0700-000059000000}"/>
    <hyperlink ref="Q28" r:id="rId91" xr:uid="{00000000-0004-0000-0700-00005A000000}"/>
    <hyperlink ref="C29" r:id="rId92" xr:uid="{00000000-0004-0000-0700-00005B000000}"/>
    <hyperlink ref="E29" r:id="rId93" xr:uid="{00000000-0004-0000-0700-00005C000000}"/>
    <hyperlink ref="I29" r:id="rId94" xr:uid="{00000000-0004-0000-0700-00005D000000}"/>
    <hyperlink ref="Q29" r:id="rId95" xr:uid="{00000000-0004-0000-0700-00005E000000}"/>
    <hyperlink ref="C30" r:id="rId96" xr:uid="{00000000-0004-0000-0700-00005F000000}"/>
    <hyperlink ref="E30" r:id="rId97" xr:uid="{00000000-0004-0000-0700-000060000000}"/>
    <hyperlink ref="I30" r:id="rId98" xr:uid="{00000000-0004-0000-0700-000061000000}"/>
    <hyperlink ref="E31" r:id="rId99" xr:uid="{00000000-0004-0000-0700-000062000000}"/>
    <hyperlink ref="Q31" r:id="rId100" xr:uid="{00000000-0004-0000-0700-000063000000}"/>
  </hyperlinks>
  <pageMargins left="0.7" right="0.7" top="0.75" bottom="0.75" header="0.3" footer="0.3"/>
  <tableParts count="6">
    <tablePart r:id="rId101"/>
    <tablePart r:id="rId102"/>
    <tablePart r:id="rId103"/>
    <tablePart r:id="rId104"/>
    <tablePart r:id="rId105"/>
    <tablePart r:id="rId10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027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6" customWidth="1"/>
    <col min="2" max="2" width="20.33203125" customWidth="1"/>
    <col min="3" max="3" width="28.83203125" customWidth="1"/>
    <col min="4" max="4" width="33.1640625" customWidth="1"/>
    <col min="5" max="5" width="17.5" customWidth="1"/>
    <col min="6" max="7" width="13.83203125" customWidth="1"/>
    <col min="8" max="8" width="18.33203125" customWidth="1"/>
    <col min="9" max="9" width="8.83203125" customWidth="1"/>
    <col min="10" max="10" width="9.6640625" customWidth="1"/>
    <col min="11" max="11" width="10.6640625" customWidth="1"/>
    <col min="12" max="13" width="11.1640625" customWidth="1"/>
    <col min="14" max="14" width="17.6640625" customWidth="1"/>
    <col min="15" max="15" width="12.5" customWidth="1"/>
    <col min="16" max="16" width="12" customWidth="1"/>
    <col min="17" max="17" width="14.6640625" customWidth="1"/>
    <col min="18" max="18" width="15.33203125" customWidth="1"/>
    <col min="19" max="20" width="14.6640625" customWidth="1"/>
    <col min="21" max="25" width="60.6640625" customWidth="1"/>
  </cols>
  <sheetData>
    <row r="1" spans="1:30" ht="37.5" customHeight="1">
      <c r="A1" s="154" t="s">
        <v>673</v>
      </c>
      <c r="B1" s="155" t="s">
        <v>375</v>
      </c>
      <c r="C1" s="114" t="s">
        <v>376</v>
      </c>
      <c r="D1" s="156" t="s">
        <v>377</v>
      </c>
      <c r="E1" s="156" t="s">
        <v>21</v>
      </c>
      <c r="F1" s="158" t="s">
        <v>378</v>
      </c>
      <c r="G1" s="158" t="s">
        <v>758</v>
      </c>
      <c r="H1" s="17" t="s">
        <v>45</v>
      </c>
      <c r="I1" s="17" t="s">
        <v>48</v>
      </c>
      <c r="J1" s="17" t="s">
        <v>49</v>
      </c>
      <c r="K1" s="17" t="s">
        <v>50</v>
      </c>
      <c r="L1" s="17" t="s">
        <v>52</v>
      </c>
      <c r="M1" s="17" t="s">
        <v>68</v>
      </c>
      <c r="N1" s="26" t="s">
        <v>61</v>
      </c>
      <c r="O1" s="26" t="s">
        <v>64</v>
      </c>
      <c r="P1" s="26" t="s">
        <v>65</v>
      </c>
      <c r="Q1" s="26" t="s">
        <v>66</v>
      </c>
      <c r="R1" s="6" t="s">
        <v>760</v>
      </c>
      <c r="S1" s="6" t="s">
        <v>761</v>
      </c>
      <c r="T1" s="6" t="s">
        <v>762</v>
      </c>
      <c r="U1" s="6" t="s">
        <v>275</v>
      </c>
    </row>
    <row r="2" spans="1:30" ht="16.5" customHeight="1">
      <c r="A2" s="289" t="s">
        <v>393</v>
      </c>
      <c r="B2" s="290">
        <v>821096152410</v>
      </c>
      <c r="C2" s="292" t="s">
        <v>677</v>
      </c>
      <c r="D2" s="293"/>
      <c r="E2" s="294">
        <v>46109</v>
      </c>
      <c r="F2" s="293" t="b">
        <v>1</v>
      </c>
      <c r="G2" s="293" t="s">
        <v>30</v>
      </c>
      <c r="H2" s="59" t="s">
        <v>399</v>
      </c>
      <c r="I2" s="57">
        <v>1766</v>
      </c>
      <c r="J2" s="57">
        <v>65</v>
      </c>
      <c r="K2" s="57">
        <v>6</v>
      </c>
      <c r="L2" s="57">
        <v>15</v>
      </c>
      <c r="M2" s="57"/>
      <c r="N2" s="183"/>
      <c r="O2" s="183"/>
      <c r="P2" s="183"/>
      <c r="Q2" s="298"/>
      <c r="U2" s="41" t="s">
        <v>392</v>
      </c>
      <c r="V2" s="38"/>
      <c r="W2" s="38"/>
      <c r="X2" s="38"/>
      <c r="Y2" s="38"/>
    </row>
    <row r="3" spans="1:30" ht="13">
      <c r="A3" s="104" t="s">
        <v>682</v>
      </c>
      <c r="B3" s="175">
        <v>1067976527</v>
      </c>
      <c r="C3" s="183"/>
      <c r="D3" s="263" t="s">
        <v>683</v>
      </c>
      <c r="E3" s="294">
        <v>46109</v>
      </c>
      <c r="F3" s="41" t="b">
        <v>1</v>
      </c>
      <c r="G3" s="293" t="s">
        <v>30</v>
      </c>
      <c r="H3" s="299" t="s">
        <v>404</v>
      </c>
      <c r="I3" s="41">
        <v>2</v>
      </c>
      <c r="J3" s="41"/>
      <c r="K3" s="41"/>
      <c r="L3" s="41"/>
      <c r="M3" s="41"/>
      <c r="N3" s="202" t="s">
        <v>689</v>
      </c>
      <c r="O3" s="90">
        <v>1213</v>
      </c>
      <c r="P3" s="90">
        <v>25</v>
      </c>
      <c r="Q3" s="90">
        <v>0</v>
      </c>
      <c r="U3" s="41" t="s">
        <v>690</v>
      </c>
      <c r="V3" s="41"/>
      <c r="W3" s="41"/>
      <c r="X3" s="41"/>
      <c r="Y3" s="41"/>
    </row>
    <row r="4" spans="1:30" ht="13">
      <c r="A4" s="301" t="s">
        <v>405</v>
      </c>
      <c r="B4" s="175">
        <v>1077479556</v>
      </c>
      <c r="C4" s="263" t="s">
        <v>691</v>
      </c>
      <c r="D4" s="183"/>
      <c r="E4" s="294">
        <v>46109</v>
      </c>
      <c r="F4" s="41" t="b">
        <v>1</v>
      </c>
      <c r="G4" s="293" t="s">
        <v>30</v>
      </c>
      <c r="H4" s="202" t="s">
        <v>409</v>
      </c>
      <c r="I4" s="57">
        <v>332</v>
      </c>
      <c r="J4" s="57">
        <v>9</v>
      </c>
      <c r="K4" s="57">
        <v>2</v>
      </c>
      <c r="L4" s="57">
        <v>1</v>
      </c>
      <c r="M4" s="57"/>
      <c r="N4" s="137" t="s">
        <v>697</v>
      </c>
      <c r="O4" s="90">
        <v>545</v>
      </c>
      <c r="P4" s="41">
        <v>18</v>
      </c>
      <c r="Q4" s="41">
        <v>2</v>
      </c>
      <c r="U4" s="41" t="s">
        <v>699</v>
      </c>
      <c r="V4" s="41"/>
      <c r="W4" s="41"/>
      <c r="X4" s="41"/>
      <c r="Y4" s="41"/>
    </row>
    <row r="5" spans="1:30" ht="13">
      <c r="A5" s="301" t="s">
        <v>410</v>
      </c>
      <c r="B5" s="175">
        <v>1030227630</v>
      </c>
      <c r="C5" s="263" t="s">
        <v>700</v>
      </c>
      <c r="D5" s="183"/>
      <c r="E5" s="306">
        <v>46109</v>
      </c>
      <c r="F5" s="307" t="b">
        <v>1</v>
      </c>
      <c r="G5" s="293" t="s">
        <v>30</v>
      </c>
      <c r="H5" s="137" t="s">
        <v>415</v>
      </c>
      <c r="I5" s="57">
        <v>6771</v>
      </c>
      <c r="J5" s="57">
        <v>152</v>
      </c>
      <c r="K5" s="57">
        <v>5</v>
      </c>
      <c r="L5" s="57">
        <v>91</v>
      </c>
      <c r="M5" s="57"/>
      <c r="N5" s="41"/>
      <c r="O5" s="41"/>
      <c r="P5" s="41"/>
      <c r="Q5" s="41"/>
      <c r="U5" s="41" t="s">
        <v>715</v>
      </c>
      <c r="V5" s="41"/>
      <c r="W5" s="41"/>
      <c r="X5" s="41"/>
      <c r="Y5" s="41"/>
    </row>
    <row r="6" spans="1:30" ht="13">
      <c r="A6" s="107" t="s">
        <v>416</v>
      </c>
      <c r="B6" s="312">
        <v>2183680751</v>
      </c>
      <c r="C6" s="207" t="s">
        <v>716</v>
      </c>
      <c r="D6" s="207" t="s">
        <v>719</v>
      </c>
      <c r="E6" s="163">
        <v>46110</v>
      </c>
      <c r="F6" s="41" t="b">
        <v>1</v>
      </c>
      <c r="G6" s="293" t="s">
        <v>30</v>
      </c>
      <c r="H6" s="202" t="s">
        <v>421</v>
      </c>
      <c r="I6" s="57">
        <v>4696</v>
      </c>
      <c r="J6" s="57">
        <v>222</v>
      </c>
      <c r="K6" s="57">
        <v>6</v>
      </c>
      <c r="L6" s="57">
        <v>148</v>
      </c>
      <c r="M6" s="57"/>
      <c r="N6" s="41"/>
      <c r="O6" s="41"/>
      <c r="P6" s="41"/>
      <c r="Q6" s="41"/>
      <c r="U6" s="41" t="s">
        <v>726</v>
      </c>
      <c r="V6" s="41"/>
      <c r="W6" s="41"/>
      <c r="X6" s="41"/>
      <c r="Y6" s="41"/>
    </row>
    <row r="7" spans="1:30" ht="13">
      <c r="A7" s="108" t="s">
        <v>728</v>
      </c>
      <c r="B7" s="89">
        <v>1092946599</v>
      </c>
      <c r="C7" s="41"/>
      <c r="D7" s="198" t="s">
        <v>729</v>
      </c>
      <c r="E7" s="324">
        <v>46111</v>
      </c>
      <c r="F7" s="41" t="b">
        <v>1</v>
      </c>
      <c r="G7" s="293" t="s">
        <v>30</v>
      </c>
      <c r="H7" s="202" t="s">
        <v>427</v>
      </c>
      <c r="I7" s="90">
        <v>151</v>
      </c>
      <c r="J7" s="90">
        <v>3</v>
      </c>
      <c r="K7" s="90">
        <v>0</v>
      </c>
      <c r="L7" s="90">
        <v>1</v>
      </c>
      <c r="M7" s="90"/>
      <c r="N7" s="137" t="s">
        <v>732</v>
      </c>
      <c r="O7" s="90">
        <v>8854</v>
      </c>
      <c r="P7" s="90">
        <v>684</v>
      </c>
      <c r="Q7" s="90">
        <v>15</v>
      </c>
      <c r="U7" s="41" t="s">
        <v>737</v>
      </c>
      <c r="V7" s="41"/>
      <c r="W7" s="41"/>
      <c r="X7" s="41"/>
      <c r="Y7" s="41"/>
    </row>
    <row r="8" spans="1:30" ht="13">
      <c r="A8" s="108" t="s">
        <v>428</v>
      </c>
      <c r="B8" s="89" t="s">
        <v>738</v>
      </c>
      <c r="C8" s="198" t="s">
        <v>740</v>
      </c>
      <c r="D8" s="198" t="s">
        <v>741</v>
      </c>
      <c r="E8" s="324">
        <v>46112</v>
      </c>
      <c r="F8" s="41" t="b">
        <v>1</v>
      </c>
      <c r="G8" s="293" t="s">
        <v>30</v>
      </c>
      <c r="H8" s="167" t="s">
        <v>431</v>
      </c>
      <c r="I8" s="41">
        <v>309</v>
      </c>
      <c r="J8" s="41">
        <v>12</v>
      </c>
      <c r="K8" s="41">
        <v>0</v>
      </c>
      <c r="L8" s="41">
        <v>3</v>
      </c>
      <c r="M8" s="41"/>
      <c r="N8" s="167" t="s">
        <v>746</v>
      </c>
      <c r="O8" s="41">
        <v>30000</v>
      </c>
      <c r="P8" s="41">
        <v>14</v>
      </c>
      <c r="Q8" s="41"/>
      <c r="U8" s="41" t="s">
        <v>392</v>
      </c>
      <c r="V8" s="41"/>
      <c r="W8" s="41"/>
      <c r="X8" s="41"/>
      <c r="Y8" s="41"/>
    </row>
    <row r="9" spans="1:30" ht="13">
      <c r="A9" s="301" t="s">
        <v>434</v>
      </c>
      <c r="B9" s="175">
        <v>1079370772</v>
      </c>
      <c r="C9" s="263" t="s">
        <v>748</v>
      </c>
      <c r="D9" s="263" t="s">
        <v>751</v>
      </c>
      <c r="E9" s="188">
        <v>46115</v>
      </c>
      <c r="F9" s="41" t="b">
        <v>1</v>
      </c>
      <c r="G9" s="293" t="s">
        <v>30</v>
      </c>
      <c r="H9" s="202" t="s">
        <v>437</v>
      </c>
      <c r="I9" s="41">
        <v>719</v>
      </c>
      <c r="J9" s="90">
        <v>55</v>
      </c>
      <c r="K9" s="90">
        <v>11</v>
      </c>
      <c r="L9" s="90">
        <v>3</v>
      </c>
      <c r="M9" s="90"/>
      <c r="N9" s="41"/>
      <c r="O9" s="41"/>
      <c r="P9" s="41"/>
      <c r="Q9" s="41"/>
      <c r="U9" s="41" t="s">
        <v>752</v>
      </c>
      <c r="V9" s="41"/>
      <c r="W9" s="41"/>
      <c r="X9" s="41"/>
      <c r="Y9" s="41"/>
    </row>
    <row r="10" spans="1:30" ht="13">
      <c r="A10" s="301" t="s">
        <v>438</v>
      </c>
      <c r="B10" s="175">
        <v>1095946760</v>
      </c>
      <c r="C10" s="330" t="s">
        <v>754</v>
      </c>
      <c r="D10" s="183"/>
      <c r="E10" s="324">
        <v>46116</v>
      </c>
      <c r="F10" s="41" t="b">
        <v>1</v>
      </c>
      <c r="G10" s="293" t="s">
        <v>30</v>
      </c>
      <c r="H10" s="167" t="s">
        <v>443</v>
      </c>
      <c r="I10" s="57">
        <v>454</v>
      </c>
      <c r="J10" s="57">
        <v>14</v>
      </c>
      <c r="K10" s="57">
        <v>1</v>
      </c>
      <c r="L10" s="57">
        <v>0</v>
      </c>
      <c r="M10" s="57"/>
      <c r="N10" s="167" t="s">
        <v>755</v>
      </c>
      <c r="O10" s="41">
        <v>446</v>
      </c>
      <c r="P10" s="41">
        <v>17</v>
      </c>
      <c r="Q10" s="41">
        <v>2</v>
      </c>
      <c r="U10" s="41" t="s">
        <v>392</v>
      </c>
      <c r="V10" s="41"/>
      <c r="W10" s="41"/>
      <c r="X10" s="41"/>
      <c r="Y10" s="41"/>
    </row>
    <row r="11" spans="1:30" ht="13">
      <c r="A11" s="134" t="s">
        <v>449</v>
      </c>
      <c r="B11" s="312" t="s">
        <v>769</v>
      </c>
      <c r="C11" s="367" t="s">
        <v>770</v>
      </c>
      <c r="D11" s="367" t="s">
        <v>771</v>
      </c>
      <c r="E11" s="324">
        <v>46141</v>
      </c>
      <c r="F11" s="41" t="b">
        <v>1</v>
      </c>
      <c r="G11" s="293" t="s">
        <v>30</v>
      </c>
      <c r="H11" s="167" t="s">
        <v>453</v>
      </c>
      <c r="I11" s="57">
        <v>9082</v>
      </c>
      <c r="J11" s="57">
        <v>841</v>
      </c>
      <c r="K11" s="57">
        <v>5</v>
      </c>
      <c r="L11" s="57">
        <v>29</v>
      </c>
      <c r="M11" s="57"/>
      <c r="N11" s="41"/>
      <c r="O11" s="41"/>
      <c r="P11" s="41"/>
      <c r="Q11" s="41"/>
      <c r="U11" s="41" t="s">
        <v>392</v>
      </c>
      <c r="V11" s="41"/>
      <c r="W11" s="41"/>
      <c r="X11" s="41"/>
      <c r="Y11" s="41"/>
    </row>
    <row r="12" spans="1:30" ht="13">
      <c r="A12" s="139" t="s">
        <v>454</v>
      </c>
      <c r="B12" s="338" t="s">
        <v>776</v>
      </c>
      <c r="C12" s="99" t="s">
        <v>777</v>
      </c>
      <c r="D12" s="371" t="s">
        <v>781</v>
      </c>
      <c r="E12" s="373">
        <v>46142</v>
      </c>
      <c r="F12" s="41" t="b">
        <v>1</v>
      </c>
      <c r="G12" s="293" t="s">
        <v>30</v>
      </c>
      <c r="H12" s="167" t="s">
        <v>459</v>
      </c>
      <c r="I12" s="57">
        <v>546</v>
      </c>
      <c r="J12" s="57">
        <v>47</v>
      </c>
      <c r="K12" s="57">
        <v>6</v>
      </c>
      <c r="L12" s="57">
        <v>4</v>
      </c>
      <c r="M12" s="57"/>
      <c r="N12" s="167" t="s">
        <v>784</v>
      </c>
      <c r="O12" s="41">
        <v>642</v>
      </c>
      <c r="P12" s="41">
        <v>29</v>
      </c>
      <c r="Q12" s="41">
        <v>2</v>
      </c>
      <c r="U12" s="41" t="s">
        <v>392</v>
      </c>
      <c r="V12" s="41"/>
      <c r="W12" s="41"/>
      <c r="X12" s="41"/>
      <c r="Y12" s="41"/>
    </row>
    <row r="13" spans="1:30" ht="13">
      <c r="A13" s="375" t="s">
        <v>466</v>
      </c>
      <c r="B13" s="376" t="s">
        <v>785</v>
      </c>
      <c r="C13" s="343"/>
      <c r="D13" s="348" t="s">
        <v>787</v>
      </c>
      <c r="E13" s="347">
        <v>46143</v>
      </c>
      <c r="F13" s="41" t="b">
        <v>1</v>
      </c>
      <c r="G13" s="293" t="s">
        <v>30</v>
      </c>
      <c r="H13" s="39" t="s">
        <v>392</v>
      </c>
      <c r="I13" s="39" t="s">
        <v>392</v>
      </c>
      <c r="J13" s="39" t="s">
        <v>392</v>
      </c>
      <c r="K13" s="39" t="s">
        <v>392</v>
      </c>
      <c r="L13" s="39" t="s">
        <v>392</v>
      </c>
      <c r="M13" s="39"/>
      <c r="N13" s="350" t="s">
        <v>470</v>
      </c>
      <c r="O13" s="41">
        <v>842</v>
      </c>
      <c r="P13" s="41">
        <v>32</v>
      </c>
      <c r="Q13" s="41">
        <v>0</v>
      </c>
      <c r="U13" s="41" t="s">
        <v>392</v>
      </c>
      <c r="V13" s="41"/>
      <c r="W13" s="41"/>
      <c r="X13" s="41"/>
      <c r="Y13" s="41"/>
    </row>
    <row r="14" spans="1:30" ht="13">
      <c r="A14" s="134" t="s">
        <v>821</v>
      </c>
      <c r="B14" s="312" t="s">
        <v>822</v>
      </c>
      <c r="C14" s="81" t="s">
        <v>823</v>
      </c>
      <c r="D14" s="380" t="s">
        <v>827</v>
      </c>
      <c r="E14" s="381">
        <v>46151</v>
      </c>
      <c r="F14" s="41" t="b">
        <v>0</v>
      </c>
      <c r="G14" s="293" t="s">
        <v>30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U14" s="41"/>
      <c r="V14" s="41"/>
      <c r="W14" s="41"/>
      <c r="X14" s="41"/>
      <c r="Y14" s="41"/>
    </row>
    <row r="15" spans="1:30" ht="13">
      <c r="A15" s="134" t="s">
        <v>828</v>
      </c>
      <c r="B15" s="312" t="s">
        <v>829</v>
      </c>
      <c r="C15" s="267"/>
      <c r="D15" s="380" t="s">
        <v>830</v>
      </c>
      <c r="E15" s="381">
        <v>46152</v>
      </c>
      <c r="F15" s="41" t="b">
        <v>0</v>
      </c>
      <c r="G15" s="293" t="s">
        <v>30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U15" s="41"/>
      <c r="V15" s="41"/>
      <c r="W15" s="41"/>
      <c r="X15" s="41"/>
      <c r="Y15" s="41"/>
    </row>
    <row r="16" spans="1:30" ht="13">
      <c r="A16" s="104" t="s">
        <v>188</v>
      </c>
      <c r="B16" s="160">
        <f>821073041480</f>
        <v>821073041480</v>
      </c>
      <c r="C16" s="41"/>
      <c r="D16" s="162" t="s">
        <v>383</v>
      </c>
      <c r="E16" s="163">
        <v>46116</v>
      </c>
      <c r="F16" s="164" t="b">
        <v>1</v>
      </c>
      <c r="G16" s="389" t="s">
        <v>51</v>
      </c>
      <c r="H16" s="165" t="s">
        <v>194</v>
      </c>
      <c r="I16" s="90">
        <v>311</v>
      </c>
      <c r="J16" s="90">
        <v>6</v>
      </c>
      <c r="K16" s="90">
        <v>0</v>
      </c>
      <c r="L16" s="90">
        <v>1</v>
      </c>
      <c r="M16" s="90"/>
      <c r="N16" s="167" t="s">
        <v>389</v>
      </c>
      <c r="O16" s="90">
        <v>113</v>
      </c>
      <c r="P16" s="90">
        <v>6</v>
      </c>
      <c r="Q16" s="90">
        <v>2</v>
      </c>
      <c r="U16" s="90">
        <v>1</v>
      </c>
      <c r="V16" s="41" t="s">
        <v>392</v>
      </c>
      <c r="W16" s="41"/>
      <c r="X16" s="41"/>
      <c r="Y16" s="41"/>
      <c r="Z16" s="41"/>
      <c r="AA16" s="41"/>
      <c r="AB16" s="41"/>
      <c r="AC16" s="41"/>
      <c r="AD16" s="41"/>
    </row>
    <row r="17" spans="1:30" ht="13">
      <c r="A17" s="105" t="s">
        <v>195</v>
      </c>
      <c r="B17" s="171">
        <v>821056818868</v>
      </c>
      <c r="C17" s="173" t="s">
        <v>456</v>
      </c>
      <c r="D17" s="174"/>
      <c r="E17" s="176">
        <v>46117</v>
      </c>
      <c r="F17" s="178" t="b">
        <v>1</v>
      </c>
      <c r="G17" s="389" t="s">
        <v>51</v>
      </c>
      <c r="H17" s="180" t="s">
        <v>202</v>
      </c>
      <c r="I17" s="89">
        <v>990</v>
      </c>
      <c r="J17" s="90">
        <v>21</v>
      </c>
      <c r="K17" s="41"/>
      <c r="L17" s="41">
        <v>2</v>
      </c>
      <c r="M17" s="41"/>
      <c r="N17" s="138" t="s">
        <v>464</v>
      </c>
      <c r="O17" s="90">
        <v>1916</v>
      </c>
      <c r="P17" s="41">
        <v>24</v>
      </c>
      <c r="Q17" s="41">
        <v>4</v>
      </c>
      <c r="U17" s="41"/>
      <c r="V17" s="41" t="s">
        <v>471</v>
      </c>
      <c r="W17" s="41"/>
      <c r="X17" s="41"/>
      <c r="Y17" s="41"/>
      <c r="Z17" s="41"/>
      <c r="AA17" s="41"/>
      <c r="AB17" s="41"/>
      <c r="AC17" s="41"/>
      <c r="AD17" s="41"/>
    </row>
    <row r="18" spans="1:30" ht="13">
      <c r="A18" s="107" t="s">
        <v>203</v>
      </c>
      <c r="B18" s="184">
        <v>821024212507</v>
      </c>
      <c r="C18" s="185"/>
      <c r="D18" s="394" t="s">
        <v>481</v>
      </c>
      <c r="E18" s="188">
        <v>46118</v>
      </c>
      <c r="F18" s="164" t="b">
        <v>1</v>
      </c>
      <c r="G18" s="389" t="s">
        <v>51</v>
      </c>
      <c r="H18" s="190" t="s">
        <v>209</v>
      </c>
      <c r="I18" s="191">
        <v>418</v>
      </c>
      <c r="J18" s="191">
        <v>23</v>
      </c>
      <c r="K18" s="191">
        <v>6</v>
      </c>
      <c r="L18" s="191">
        <v>2</v>
      </c>
      <c r="M18" s="90"/>
      <c r="N18" s="138" t="s">
        <v>497</v>
      </c>
      <c r="O18" s="191">
        <v>497</v>
      </c>
      <c r="P18" s="191">
        <v>39</v>
      </c>
      <c r="Q18" s="195">
        <v>29</v>
      </c>
      <c r="U18" s="41"/>
      <c r="V18" s="196" t="s">
        <v>508</v>
      </c>
      <c r="W18" s="41"/>
      <c r="X18" s="41"/>
      <c r="Y18" s="41"/>
      <c r="Z18" s="41"/>
      <c r="AA18" s="41"/>
      <c r="AB18" s="41"/>
      <c r="AC18" s="41"/>
      <c r="AD18" s="41"/>
    </row>
    <row r="19" spans="1:30" ht="13">
      <c r="A19" s="108" t="s">
        <v>211</v>
      </c>
      <c r="B19" s="197">
        <v>821029986726</v>
      </c>
      <c r="C19" s="198" t="s">
        <v>517</v>
      </c>
      <c r="D19" s="199"/>
      <c r="E19" s="163">
        <v>46118</v>
      </c>
      <c r="F19" s="164" t="b">
        <v>1</v>
      </c>
      <c r="G19" s="389" t="s">
        <v>51</v>
      </c>
      <c r="H19" s="202" t="s">
        <v>216</v>
      </c>
      <c r="I19" s="57">
        <v>895</v>
      </c>
      <c r="J19" s="57">
        <v>37</v>
      </c>
      <c r="K19" s="57">
        <v>0</v>
      </c>
      <c r="L19" s="57">
        <v>5</v>
      </c>
      <c r="M19" s="57"/>
      <c r="N19" s="38"/>
      <c r="O19" s="90"/>
      <c r="P19" s="90"/>
      <c r="Q19" s="90"/>
      <c r="U19" s="41"/>
      <c r="V19" s="41" t="s">
        <v>534</v>
      </c>
      <c r="W19" s="41"/>
      <c r="X19" s="41"/>
      <c r="Y19" s="41"/>
      <c r="Z19" s="41"/>
      <c r="AA19" s="41"/>
      <c r="AB19" s="41"/>
      <c r="AC19" s="41"/>
      <c r="AD19" s="41"/>
    </row>
    <row r="20" spans="1:30" ht="13">
      <c r="A20" s="109" t="s">
        <v>219</v>
      </c>
      <c r="B20" s="184">
        <v>821026554490</v>
      </c>
      <c r="C20" s="259" t="s">
        <v>535</v>
      </c>
      <c r="D20" s="399" t="s">
        <v>537</v>
      </c>
      <c r="E20" s="163">
        <v>46119</v>
      </c>
      <c r="F20" s="39" t="b">
        <v>1</v>
      </c>
      <c r="G20" s="389" t="s">
        <v>51</v>
      </c>
      <c r="H20" s="190" t="s">
        <v>224</v>
      </c>
      <c r="I20" s="57">
        <v>709</v>
      </c>
      <c r="J20" s="57">
        <v>30</v>
      </c>
      <c r="K20" s="57">
        <v>3</v>
      </c>
      <c r="L20" s="57">
        <v>8</v>
      </c>
      <c r="M20" s="57"/>
      <c r="N20" s="202" t="s">
        <v>549</v>
      </c>
      <c r="O20" s="90">
        <v>490</v>
      </c>
      <c r="P20" s="90">
        <v>26</v>
      </c>
      <c r="Q20" s="90">
        <v>3</v>
      </c>
      <c r="U20" s="41"/>
      <c r="V20" s="41" t="s">
        <v>552</v>
      </c>
      <c r="W20" s="41"/>
      <c r="X20" s="41"/>
      <c r="Y20" s="41"/>
      <c r="Z20" s="41"/>
      <c r="AA20" s="41"/>
      <c r="AB20" s="41"/>
      <c r="AC20" s="41"/>
      <c r="AD20" s="41"/>
    </row>
    <row r="21" spans="1:30" ht="13">
      <c r="A21" s="108" t="s">
        <v>554</v>
      </c>
      <c r="B21" s="197">
        <f>821067846312</f>
        <v>821067846312</v>
      </c>
      <c r="C21" s="41"/>
      <c r="D21" s="213" t="s">
        <v>555</v>
      </c>
      <c r="E21" s="163">
        <v>46120</v>
      </c>
      <c r="F21" s="164" t="b">
        <v>1</v>
      </c>
      <c r="G21" s="389" t="s">
        <v>51</v>
      </c>
      <c r="H21" s="202" t="s">
        <v>231</v>
      </c>
      <c r="I21" s="57">
        <v>2089</v>
      </c>
      <c r="J21" s="57">
        <v>129</v>
      </c>
      <c r="K21" s="57">
        <v>4</v>
      </c>
      <c r="L21" s="57">
        <v>48</v>
      </c>
      <c r="M21" s="57"/>
      <c r="N21" s="202" t="s">
        <v>558</v>
      </c>
      <c r="O21" s="90">
        <v>2119</v>
      </c>
      <c r="P21" s="90">
        <v>76</v>
      </c>
      <c r="Q21" s="90">
        <v>8</v>
      </c>
      <c r="U21" s="41"/>
      <c r="V21" s="41" t="s">
        <v>392</v>
      </c>
      <c r="W21" s="41"/>
      <c r="X21" s="41"/>
      <c r="Y21" s="41"/>
      <c r="Z21" s="41"/>
      <c r="AA21" s="41"/>
      <c r="AB21" s="41"/>
      <c r="AC21" s="41"/>
      <c r="AD21" s="41"/>
    </row>
    <row r="22" spans="1:30" ht="13">
      <c r="A22" s="108" t="s">
        <v>234</v>
      </c>
      <c r="B22" s="171">
        <f>821054548810</f>
        <v>821054548810</v>
      </c>
      <c r="C22" s="198" t="s">
        <v>568</v>
      </c>
      <c r="D22" s="199"/>
      <c r="E22" s="163">
        <v>46121</v>
      </c>
      <c r="F22" s="215" t="b">
        <v>1</v>
      </c>
      <c r="G22" s="389" t="s">
        <v>51</v>
      </c>
      <c r="H22" s="216" t="s">
        <v>238</v>
      </c>
      <c r="I22" s="57">
        <v>2205</v>
      </c>
      <c r="J22" s="57">
        <v>85</v>
      </c>
      <c r="K22" s="57">
        <v>1</v>
      </c>
      <c r="L22" s="57">
        <v>40</v>
      </c>
      <c r="M22" s="57"/>
      <c r="N22" s="41"/>
      <c r="O22" s="41"/>
      <c r="P22" s="41"/>
      <c r="Q22" s="41"/>
      <c r="U22" s="41"/>
      <c r="V22" s="41" t="s">
        <v>582</v>
      </c>
      <c r="W22" s="41"/>
      <c r="X22" s="41"/>
      <c r="Y22" s="41"/>
      <c r="Z22" s="41"/>
      <c r="AA22" s="41"/>
      <c r="AB22" s="41"/>
      <c r="AC22" s="41"/>
      <c r="AD22" s="41"/>
    </row>
    <row r="23" spans="1:30" ht="13">
      <c r="A23" s="104" t="s">
        <v>239</v>
      </c>
      <c r="B23" s="217" t="s">
        <v>584</v>
      </c>
      <c r="C23" s="379" t="s">
        <v>585</v>
      </c>
      <c r="D23" s="379" t="s">
        <v>588</v>
      </c>
      <c r="E23" s="382">
        <v>46122</v>
      </c>
      <c r="F23" s="39" t="b">
        <v>1</v>
      </c>
      <c r="G23" s="389" t="s">
        <v>51</v>
      </c>
      <c r="H23" s="226" t="s">
        <v>244</v>
      </c>
      <c r="I23" s="57">
        <v>376</v>
      </c>
      <c r="J23" s="57">
        <v>20</v>
      </c>
      <c r="K23" s="57">
        <v>1</v>
      </c>
      <c r="L23" s="57">
        <v>2</v>
      </c>
      <c r="M23" s="57"/>
      <c r="N23" s="167" t="s">
        <v>593</v>
      </c>
      <c r="O23" s="41">
        <v>688</v>
      </c>
      <c r="P23" s="41">
        <v>38</v>
      </c>
      <c r="Q23" s="41">
        <v>6</v>
      </c>
      <c r="U23" s="41">
        <v>1</v>
      </c>
      <c r="V23" s="41" t="s">
        <v>594</v>
      </c>
      <c r="W23" s="41"/>
      <c r="X23" s="41"/>
      <c r="Y23" s="41"/>
      <c r="Z23" s="41"/>
      <c r="AA23" s="41"/>
      <c r="AB23" s="41"/>
      <c r="AC23" s="41"/>
      <c r="AD23" s="41"/>
    </row>
    <row r="24" spans="1:30" ht="13">
      <c r="A24" s="111" t="s">
        <v>245</v>
      </c>
      <c r="B24" s="228">
        <v>821089393794</v>
      </c>
      <c r="C24" s="404" t="s">
        <v>595</v>
      </c>
      <c r="D24" s="405" t="s">
        <v>597</v>
      </c>
      <c r="E24" s="231">
        <v>46123</v>
      </c>
      <c r="F24" s="232" t="b">
        <v>1</v>
      </c>
      <c r="G24" s="389" t="s">
        <v>51</v>
      </c>
      <c r="H24" s="234" t="s">
        <v>250</v>
      </c>
      <c r="I24" s="57">
        <v>930</v>
      </c>
      <c r="J24" s="57">
        <v>58</v>
      </c>
      <c r="K24" s="57">
        <v>2</v>
      </c>
      <c r="L24" s="57">
        <v>17</v>
      </c>
      <c r="M24" s="57"/>
      <c r="N24" s="138" t="s">
        <v>603</v>
      </c>
      <c r="O24" s="90">
        <v>2291</v>
      </c>
      <c r="P24" s="41">
        <v>43</v>
      </c>
      <c r="Q24" s="41">
        <v>2</v>
      </c>
      <c r="U24" s="41"/>
      <c r="V24" s="41" t="s">
        <v>604</v>
      </c>
      <c r="W24" s="41"/>
      <c r="X24" s="41"/>
      <c r="Y24" s="41"/>
      <c r="Z24" s="41"/>
      <c r="AA24" s="41"/>
      <c r="AB24" s="41"/>
      <c r="AC24" s="41"/>
      <c r="AD24" s="41"/>
    </row>
    <row r="25" spans="1:30" ht="13">
      <c r="A25" s="115" t="s">
        <v>606</v>
      </c>
      <c r="B25" s="179" t="s">
        <v>607</v>
      </c>
      <c r="C25" s="406" t="s">
        <v>609</v>
      </c>
      <c r="D25" s="377"/>
      <c r="E25" s="324">
        <v>46124</v>
      </c>
      <c r="F25" s="215" t="b">
        <v>1</v>
      </c>
      <c r="G25" s="389" t="s">
        <v>51</v>
      </c>
      <c r="H25" s="245" t="s">
        <v>265</v>
      </c>
      <c r="I25" s="57">
        <v>292</v>
      </c>
      <c r="J25" s="57">
        <v>8</v>
      </c>
      <c r="K25" s="57">
        <v>0</v>
      </c>
      <c r="L25" s="57">
        <v>0</v>
      </c>
      <c r="M25" s="57"/>
      <c r="N25" s="138" t="s">
        <v>611</v>
      </c>
      <c r="O25" s="90">
        <v>309</v>
      </c>
      <c r="P25" s="41">
        <v>25</v>
      </c>
      <c r="Q25" s="41">
        <v>1</v>
      </c>
      <c r="U25" s="41">
        <v>2</v>
      </c>
      <c r="V25" s="41" t="s">
        <v>392</v>
      </c>
      <c r="W25" s="41"/>
      <c r="X25" s="41"/>
      <c r="Y25" s="41"/>
      <c r="Z25" s="41"/>
      <c r="AA25" s="41"/>
      <c r="AB25" s="41"/>
      <c r="AC25" s="41"/>
      <c r="AD25" s="41"/>
    </row>
    <row r="26" spans="1:30" ht="13">
      <c r="A26" s="134" t="s">
        <v>288</v>
      </c>
      <c r="B26" s="246" t="s">
        <v>614</v>
      </c>
      <c r="C26" s="81" t="s">
        <v>615</v>
      </c>
      <c r="D26" s="380" t="s">
        <v>618</v>
      </c>
      <c r="E26" s="254">
        <v>46143</v>
      </c>
      <c r="F26" s="164" t="b">
        <v>1</v>
      </c>
      <c r="G26" s="389" t="s">
        <v>51</v>
      </c>
      <c r="H26" s="407" t="s">
        <v>293</v>
      </c>
      <c r="I26" s="57">
        <v>340</v>
      </c>
      <c r="J26" s="57">
        <v>18</v>
      </c>
      <c r="K26" s="57">
        <v>0</v>
      </c>
      <c r="L26" s="57">
        <v>5</v>
      </c>
      <c r="M26" s="57"/>
      <c r="N26" s="250" t="s">
        <v>621</v>
      </c>
      <c r="O26" s="38">
        <v>532</v>
      </c>
      <c r="P26" s="38">
        <v>25</v>
      </c>
      <c r="Q26" s="38">
        <v>1</v>
      </c>
      <c r="U26" s="38"/>
      <c r="V26" s="38" t="s">
        <v>392</v>
      </c>
    </row>
    <row r="27" spans="1:30" ht="13">
      <c r="A27" s="134" t="s">
        <v>299</v>
      </c>
      <c r="B27" s="134" t="s">
        <v>624</v>
      </c>
      <c r="C27" s="81" t="s">
        <v>626</v>
      </c>
      <c r="D27" s="380" t="s">
        <v>628</v>
      </c>
      <c r="E27" s="254">
        <v>46146</v>
      </c>
      <c r="F27" s="39" t="b">
        <v>1</v>
      </c>
      <c r="G27" s="389" t="s">
        <v>51</v>
      </c>
      <c r="H27" s="40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</row>
    <row r="28" spans="1:30" ht="13">
      <c r="A28" s="139" t="s">
        <v>636</v>
      </c>
      <c r="B28" s="260" t="s">
        <v>637</v>
      </c>
      <c r="C28" s="99" t="s">
        <v>638</v>
      </c>
      <c r="D28" s="371" t="s">
        <v>640</v>
      </c>
      <c r="E28" s="265">
        <v>46149</v>
      </c>
      <c r="F28" s="232" t="b">
        <v>1</v>
      </c>
      <c r="G28" s="389" t="s">
        <v>51</v>
      </c>
      <c r="H28" s="40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</row>
    <row r="29" spans="1:30" ht="13">
      <c r="A29" s="6" t="s">
        <v>315</v>
      </c>
      <c r="B29" s="134" t="s">
        <v>648</v>
      </c>
      <c r="C29" s="367" t="s">
        <v>852</v>
      </c>
      <c r="D29" s="410" t="s">
        <v>655</v>
      </c>
      <c r="E29" s="411" t="s">
        <v>657</v>
      </c>
      <c r="F29" s="232" t="b">
        <v>1</v>
      </c>
      <c r="G29" s="389" t="s">
        <v>51</v>
      </c>
      <c r="H29" s="40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</row>
    <row r="30" spans="1:30" ht="13">
      <c r="A30" s="134" t="s">
        <v>853</v>
      </c>
      <c r="B30" s="134" t="s">
        <v>854</v>
      </c>
      <c r="C30" s="81"/>
      <c r="D30" s="380" t="s">
        <v>855</v>
      </c>
      <c r="E30" s="254">
        <v>46153</v>
      </c>
      <c r="F30" s="387" t="b">
        <v>0</v>
      </c>
      <c r="G30" s="389" t="s">
        <v>51</v>
      </c>
      <c r="H30" s="40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</row>
    <row r="31" spans="1:30" ht="13">
      <c r="A31" s="412" t="s">
        <v>856</v>
      </c>
      <c r="B31" s="413" t="s">
        <v>857</v>
      </c>
      <c r="C31" s="414"/>
      <c r="D31" s="414"/>
      <c r="E31" s="415">
        <v>46174</v>
      </c>
      <c r="G31" s="6" t="s">
        <v>858</v>
      </c>
      <c r="H31" s="202" t="s">
        <v>859</v>
      </c>
      <c r="I31" s="90">
        <v>7702</v>
      </c>
      <c r="J31" s="90">
        <v>261</v>
      </c>
      <c r="K31" s="90">
        <v>4</v>
      </c>
      <c r="L31" s="90">
        <v>20</v>
      </c>
      <c r="M31" s="90">
        <v>4</v>
      </c>
    </row>
    <row r="32" spans="1:30" ht="13">
      <c r="A32" s="41" t="s">
        <v>860</v>
      </c>
      <c r="B32" s="413" t="s">
        <v>861</v>
      </c>
      <c r="C32" s="414"/>
      <c r="D32" s="414"/>
      <c r="E32" s="415">
        <v>46173</v>
      </c>
      <c r="G32" s="6" t="s">
        <v>858</v>
      </c>
      <c r="H32" s="202" t="s">
        <v>859</v>
      </c>
      <c r="I32" s="90">
        <v>4650</v>
      </c>
      <c r="J32" s="90">
        <v>191</v>
      </c>
      <c r="K32" s="90">
        <v>3</v>
      </c>
      <c r="L32" s="90">
        <v>9</v>
      </c>
      <c r="M32" s="90">
        <v>4</v>
      </c>
    </row>
    <row r="33" spans="1:22" ht="13">
      <c r="A33" s="41" t="s">
        <v>862</v>
      </c>
      <c r="B33" s="39" t="s">
        <v>863</v>
      </c>
      <c r="C33" s="414"/>
      <c r="D33" s="414"/>
      <c r="E33" s="415">
        <v>46172</v>
      </c>
      <c r="G33" s="6" t="s">
        <v>858</v>
      </c>
      <c r="H33" s="202" t="s">
        <v>864</v>
      </c>
      <c r="I33" s="416">
        <v>17400</v>
      </c>
      <c r="J33" s="90">
        <v>156</v>
      </c>
      <c r="K33" s="90">
        <v>1</v>
      </c>
      <c r="L33" s="90">
        <v>83</v>
      </c>
      <c r="M33" s="90">
        <v>2</v>
      </c>
    </row>
    <row r="34" spans="1:22" ht="13">
      <c r="A34" s="44" t="s">
        <v>865</v>
      </c>
      <c r="B34" s="65" t="s">
        <v>866</v>
      </c>
      <c r="C34" s="414"/>
      <c r="D34" s="414"/>
      <c r="E34" s="417">
        <v>46172</v>
      </c>
      <c r="G34" s="6" t="s">
        <v>858</v>
      </c>
      <c r="H34" s="137" t="s">
        <v>867</v>
      </c>
      <c r="I34" s="57">
        <v>7104</v>
      </c>
      <c r="J34" s="57">
        <v>211</v>
      </c>
      <c r="K34" s="57">
        <v>2</v>
      </c>
      <c r="L34" s="57">
        <v>24</v>
      </c>
      <c r="M34" s="44"/>
    </row>
    <row r="35" spans="1:22" ht="14">
      <c r="A35" s="418" t="s">
        <v>868</v>
      </c>
      <c r="B35" s="419" t="s">
        <v>869</v>
      </c>
      <c r="C35" s="414"/>
      <c r="D35" s="414"/>
      <c r="E35" s="420">
        <v>46154</v>
      </c>
      <c r="G35" s="6" t="s">
        <v>858</v>
      </c>
      <c r="H35" s="421"/>
      <c r="N35" s="422" t="s">
        <v>870</v>
      </c>
      <c r="O35" s="423">
        <v>2996</v>
      </c>
      <c r="P35" s="423">
        <v>532</v>
      </c>
      <c r="Q35" s="423">
        <v>662</v>
      </c>
      <c r="R35" s="424" t="s">
        <v>392</v>
      </c>
      <c r="S35" s="423">
        <v>5</v>
      </c>
      <c r="T35" s="423"/>
    </row>
    <row r="36" spans="1:22" ht="14">
      <c r="A36" s="425" t="s">
        <v>871</v>
      </c>
      <c r="B36" s="419" t="s">
        <v>872</v>
      </c>
      <c r="C36" s="414"/>
      <c r="D36" s="414"/>
      <c r="E36" s="420">
        <v>46164</v>
      </c>
      <c r="G36" s="6" t="s">
        <v>858</v>
      </c>
      <c r="H36" s="421"/>
      <c r="N36" s="422" t="s">
        <v>873</v>
      </c>
      <c r="O36" s="423">
        <v>1222</v>
      </c>
      <c r="P36" s="424" t="s">
        <v>392</v>
      </c>
      <c r="Q36" s="423">
        <v>2</v>
      </c>
      <c r="R36" s="424" t="s">
        <v>392</v>
      </c>
      <c r="S36" s="423">
        <v>0</v>
      </c>
      <c r="T36" s="423"/>
    </row>
    <row r="37" spans="1:22" ht="14">
      <c r="A37" s="425" t="s">
        <v>874</v>
      </c>
      <c r="B37" s="419" t="s">
        <v>875</v>
      </c>
      <c r="C37" s="414"/>
      <c r="D37" s="414"/>
      <c r="E37" s="420">
        <v>46164</v>
      </c>
      <c r="G37" s="6" t="s">
        <v>858</v>
      </c>
      <c r="H37" s="421"/>
      <c r="N37" s="422" t="s">
        <v>876</v>
      </c>
      <c r="O37" s="423">
        <v>6985</v>
      </c>
      <c r="P37" s="423">
        <v>275</v>
      </c>
      <c r="Q37" s="423">
        <v>0</v>
      </c>
      <c r="R37" s="424" t="s">
        <v>392</v>
      </c>
      <c r="S37" s="423">
        <v>57</v>
      </c>
      <c r="T37" s="423"/>
    </row>
    <row r="38" spans="1:22" ht="13">
      <c r="A38" s="421" t="s">
        <v>877</v>
      </c>
      <c r="B38" s="419" t="s">
        <v>878</v>
      </c>
      <c r="C38" s="414"/>
      <c r="D38" s="414"/>
      <c r="E38" s="420">
        <v>46163</v>
      </c>
      <c r="G38" s="6" t="s">
        <v>858</v>
      </c>
      <c r="H38" s="421"/>
      <c r="N38" s="422" t="s">
        <v>879</v>
      </c>
      <c r="O38" s="423">
        <v>4338</v>
      </c>
      <c r="P38" s="423">
        <v>325</v>
      </c>
      <c r="Q38" s="423">
        <v>15</v>
      </c>
      <c r="R38" s="424" t="s">
        <v>392</v>
      </c>
      <c r="S38" s="423">
        <v>2</v>
      </c>
      <c r="T38" s="423"/>
    </row>
    <row r="39" spans="1:22" ht="14">
      <c r="A39" s="425" t="s">
        <v>880</v>
      </c>
      <c r="B39" s="419" t="s">
        <v>881</v>
      </c>
      <c r="C39" s="414"/>
      <c r="D39" s="414"/>
      <c r="E39" s="420">
        <v>46163</v>
      </c>
      <c r="G39" s="6" t="s">
        <v>858</v>
      </c>
      <c r="H39" s="421"/>
      <c r="N39" s="422" t="s">
        <v>882</v>
      </c>
      <c r="O39" s="423">
        <v>1826</v>
      </c>
      <c r="P39" s="423">
        <v>325</v>
      </c>
      <c r="Q39" s="423">
        <v>98</v>
      </c>
      <c r="R39" s="424" t="s">
        <v>392</v>
      </c>
      <c r="S39" s="423">
        <v>48</v>
      </c>
      <c r="T39" s="423"/>
    </row>
    <row r="40" spans="1:22" ht="13">
      <c r="A40" s="426" t="s">
        <v>883</v>
      </c>
      <c r="B40" s="65" t="s">
        <v>884</v>
      </c>
      <c r="C40" s="414"/>
      <c r="D40" s="414"/>
      <c r="E40" s="415">
        <v>46173</v>
      </c>
      <c r="G40" s="6" t="s">
        <v>858</v>
      </c>
      <c r="H40" s="137" t="s">
        <v>885</v>
      </c>
      <c r="I40" s="57">
        <v>2042</v>
      </c>
      <c r="J40" s="57">
        <v>8</v>
      </c>
      <c r="K40" s="57">
        <v>0</v>
      </c>
      <c r="L40" s="57">
        <v>1</v>
      </c>
      <c r="M40" s="57">
        <v>0</v>
      </c>
    </row>
    <row r="41" spans="1:22" ht="13">
      <c r="A41" s="427" t="s">
        <v>886</v>
      </c>
      <c r="B41" s="65" t="s">
        <v>887</v>
      </c>
      <c r="C41" s="414"/>
      <c r="D41" s="414"/>
      <c r="E41" s="415">
        <v>46172</v>
      </c>
      <c r="G41" s="6" t="s">
        <v>858</v>
      </c>
      <c r="H41" s="137" t="s">
        <v>888</v>
      </c>
      <c r="I41" s="57">
        <v>2332</v>
      </c>
      <c r="J41" s="57">
        <v>104</v>
      </c>
      <c r="K41" s="57">
        <v>0</v>
      </c>
      <c r="L41" s="57">
        <v>14</v>
      </c>
      <c r="M41" s="57">
        <v>0</v>
      </c>
    </row>
    <row r="42" spans="1:22" ht="13">
      <c r="A42" s="427" t="s">
        <v>889</v>
      </c>
      <c r="B42" s="65" t="s">
        <v>890</v>
      </c>
      <c r="C42" s="414"/>
      <c r="D42" s="414"/>
      <c r="E42" s="415">
        <v>46172</v>
      </c>
      <c r="G42" s="6" t="s">
        <v>858</v>
      </c>
      <c r="H42" s="137" t="s">
        <v>891</v>
      </c>
      <c r="I42" s="57">
        <v>12200</v>
      </c>
      <c r="J42" s="57">
        <v>1562</v>
      </c>
      <c r="K42" s="57">
        <v>0</v>
      </c>
      <c r="L42" s="57">
        <v>147</v>
      </c>
      <c r="M42" s="57">
        <v>15</v>
      </c>
    </row>
    <row r="43" spans="1:22" ht="13">
      <c r="A43" s="426" t="s">
        <v>892</v>
      </c>
      <c r="B43" s="65" t="s">
        <v>893</v>
      </c>
      <c r="C43" s="414"/>
      <c r="D43" s="414"/>
      <c r="E43" s="415">
        <v>46167</v>
      </c>
      <c r="G43" s="6" t="s">
        <v>858</v>
      </c>
      <c r="H43" s="137" t="s">
        <v>894</v>
      </c>
      <c r="I43" s="57">
        <v>1190</v>
      </c>
      <c r="J43" s="57">
        <v>19</v>
      </c>
      <c r="K43" s="57">
        <v>3</v>
      </c>
      <c r="L43" s="57">
        <v>6</v>
      </c>
      <c r="M43" s="57">
        <v>0</v>
      </c>
    </row>
    <row r="44" spans="1:22" ht="13">
      <c r="A44" s="427" t="s">
        <v>895</v>
      </c>
      <c r="B44" s="65" t="s">
        <v>896</v>
      </c>
      <c r="C44" s="414"/>
      <c r="D44" s="414"/>
      <c r="E44" s="415">
        <v>46172</v>
      </c>
      <c r="G44" s="6" t="s">
        <v>858</v>
      </c>
      <c r="H44" s="137" t="s">
        <v>897</v>
      </c>
      <c r="I44" s="57">
        <v>2130</v>
      </c>
      <c r="J44" s="57">
        <v>203</v>
      </c>
      <c r="K44" s="57">
        <v>2</v>
      </c>
      <c r="L44" s="57">
        <v>17</v>
      </c>
      <c r="M44" s="57">
        <v>2</v>
      </c>
    </row>
    <row r="45" spans="1:22" ht="13">
      <c r="A45" s="426" t="s">
        <v>898</v>
      </c>
      <c r="B45" s="65" t="s">
        <v>899</v>
      </c>
      <c r="C45" s="414"/>
      <c r="D45" s="414"/>
      <c r="E45" s="415">
        <v>46171</v>
      </c>
      <c r="G45" s="6" t="s">
        <v>858</v>
      </c>
      <c r="H45" s="137" t="s">
        <v>900</v>
      </c>
      <c r="I45" s="57">
        <v>494</v>
      </c>
      <c r="J45" s="57">
        <v>31</v>
      </c>
      <c r="K45" s="57">
        <v>0</v>
      </c>
      <c r="L45" s="57">
        <v>1</v>
      </c>
      <c r="M45" s="57">
        <v>0</v>
      </c>
    </row>
    <row r="46" spans="1:22" ht="13">
      <c r="A46" s="427" t="s">
        <v>901</v>
      </c>
      <c r="B46" s="65" t="s">
        <v>902</v>
      </c>
      <c r="C46" s="414"/>
      <c r="D46" s="414"/>
      <c r="E46" s="415">
        <v>46172</v>
      </c>
      <c r="G46" s="6" t="s">
        <v>858</v>
      </c>
      <c r="H46" s="137" t="s">
        <v>903</v>
      </c>
      <c r="I46" s="57">
        <v>547</v>
      </c>
      <c r="J46" s="57">
        <v>12</v>
      </c>
      <c r="K46" s="57">
        <v>0</v>
      </c>
      <c r="L46" s="57">
        <v>1</v>
      </c>
      <c r="M46" s="57">
        <v>0</v>
      </c>
    </row>
    <row r="47" spans="1:22" ht="13">
      <c r="A47" s="426" t="s">
        <v>904</v>
      </c>
      <c r="B47" s="65" t="s">
        <v>905</v>
      </c>
      <c r="C47" s="414"/>
      <c r="D47" s="414"/>
      <c r="E47" s="44"/>
      <c r="G47" s="6" t="s">
        <v>858</v>
      </c>
      <c r="H47" s="44"/>
    </row>
    <row r="48" spans="1:22" ht="13">
      <c r="A48" s="32" t="s">
        <v>906</v>
      </c>
      <c r="B48" s="57" t="s">
        <v>907</v>
      </c>
      <c r="C48" s="428" t="s">
        <v>908</v>
      </c>
      <c r="D48" s="428" t="s">
        <v>909</v>
      </c>
      <c r="E48" s="429">
        <v>46161</v>
      </c>
      <c r="G48" s="32" t="s">
        <v>910</v>
      </c>
      <c r="H48" s="430" t="s">
        <v>911</v>
      </c>
      <c r="N48" s="327" t="s">
        <v>912</v>
      </c>
      <c r="O48" s="57">
        <v>160</v>
      </c>
      <c r="P48" s="57">
        <v>25</v>
      </c>
      <c r="Q48" s="57">
        <v>1</v>
      </c>
      <c r="R48" s="44"/>
      <c r="U48" s="327"/>
      <c r="V48" s="44"/>
    </row>
    <row r="49" spans="1:22" ht="13">
      <c r="A49" s="32" t="s">
        <v>913</v>
      </c>
      <c r="B49" s="57" t="s">
        <v>914</v>
      </c>
      <c r="C49" s="44"/>
      <c r="D49" s="428" t="s">
        <v>915</v>
      </c>
      <c r="E49" s="429">
        <v>46170</v>
      </c>
      <c r="G49" s="32" t="s">
        <v>910</v>
      </c>
      <c r="H49" s="327" t="s">
        <v>916</v>
      </c>
      <c r="I49" s="57">
        <v>1262</v>
      </c>
      <c r="J49" s="57">
        <v>99</v>
      </c>
      <c r="N49" s="44" t="s">
        <v>917</v>
      </c>
      <c r="Q49" s="44"/>
      <c r="R49" s="44"/>
      <c r="U49" s="44" t="s">
        <v>917</v>
      </c>
      <c r="V49" s="44" t="s">
        <v>917</v>
      </c>
    </row>
    <row r="50" spans="1:22" ht="13">
      <c r="A50" s="32" t="s">
        <v>918</v>
      </c>
      <c r="B50" s="57" t="s">
        <v>919</v>
      </c>
      <c r="C50" s="44"/>
      <c r="D50" s="428" t="s">
        <v>920</v>
      </c>
      <c r="E50" s="429">
        <v>46175</v>
      </c>
      <c r="G50" s="32" t="s">
        <v>910</v>
      </c>
      <c r="H50" s="44"/>
      <c r="N50" s="327" t="s">
        <v>921</v>
      </c>
      <c r="O50" s="57">
        <v>56</v>
      </c>
      <c r="P50" s="57">
        <v>1</v>
      </c>
      <c r="Q50" s="57">
        <v>0</v>
      </c>
      <c r="R50" s="44"/>
      <c r="T50" s="44"/>
      <c r="U50" s="44"/>
      <c r="V50" s="44"/>
    </row>
    <row r="51" spans="1:22" ht="13">
      <c r="A51" s="32" t="s">
        <v>922</v>
      </c>
      <c r="B51" s="57" t="s">
        <v>923</v>
      </c>
      <c r="C51" s="44"/>
      <c r="D51" s="428" t="s">
        <v>924</v>
      </c>
      <c r="E51" s="429">
        <v>46165</v>
      </c>
      <c r="G51" s="32" t="s">
        <v>910</v>
      </c>
      <c r="H51" s="44"/>
      <c r="N51" s="327" t="s">
        <v>925</v>
      </c>
      <c r="O51" s="44"/>
      <c r="P51" s="57">
        <v>43</v>
      </c>
      <c r="Q51" s="44"/>
      <c r="R51" s="44"/>
      <c r="T51" s="44" t="str">
        <f ca="1">IFERROR(__xludf.DUMMYFUNCTION("IFERROR(VLOOKUP(TRIM(N51), IMPORTRANGE(""1FiGIDbWXbrw3ESuMmD14r8eot08bsJofQ75uiKf4zAA"", ""23yearsold 1차!B:D""), 3, FALSE), """")"),"")</f>
        <v/>
      </c>
      <c r="U51" s="44" t="str">
        <f ca="1">IFERROR(__xludf.DUMMYFUNCTION("IFERROR(VLOOKUP(TRIM(N51), IMPORTRANGE(""1FiGIDbWXbrw3ESuMmD14r8eot08bsJofQ75uiKf4zAA"", ""23yearsold 1차!B:E""), 4, FALSE), """")"),"")</f>
        <v/>
      </c>
      <c r="V51" s="44" t="str">
        <f ca="1">IFERROR(__xludf.DUMMYFUNCTION("IFERROR(VLOOKUP(TRIM(N51), IMPORTRANGE(""1FiGIDbWXbrw3ESuMmD14r8eot08bsJofQ75uiKf4zAA"", ""23yearsold 1차!B:F""), 5, FALSE), """")"),"")</f>
        <v/>
      </c>
    </row>
    <row r="52" spans="1:22" ht="13">
      <c r="A52" s="32" t="s">
        <v>926</v>
      </c>
      <c r="B52" s="57">
        <v>819089530237</v>
      </c>
      <c r="C52" s="44"/>
      <c r="D52" s="428" t="s">
        <v>927</v>
      </c>
      <c r="E52" s="429">
        <v>46161</v>
      </c>
      <c r="G52" s="32" t="s">
        <v>910</v>
      </c>
      <c r="H52" s="87" t="s">
        <v>928</v>
      </c>
      <c r="N52" s="327" t="s">
        <v>929</v>
      </c>
      <c r="O52" s="57">
        <v>153</v>
      </c>
      <c r="P52" s="57">
        <v>18</v>
      </c>
      <c r="Q52" s="44"/>
      <c r="R52" s="57">
        <v>3</v>
      </c>
      <c r="T52" s="44"/>
      <c r="U52" s="327"/>
      <c r="V52" s="44"/>
    </row>
    <row r="53" spans="1:22" ht="13">
      <c r="A53" s="32" t="s">
        <v>930</v>
      </c>
      <c r="B53" s="431" t="s">
        <v>931</v>
      </c>
      <c r="C53" s="44"/>
      <c r="D53" s="44"/>
      <c r="E53" s="429">
        <v>46171</v>
      </c>
      <c r="G53" s="32" t="s">
        <v>910</v>
      </c>
      <c r="H53" s="327" t="s">
        <v>932</v>
      </c>
      <c r="I53" s="57">
        <v>426</v>
      </c>
      <c r="J53" s="57">
        <v>46</v>
      </c>
      <c r="N53" s="44" t="s">
        <v>917</v>
      </c>
      <c r="Q53" s="44"/>
      <c r="R53" s="44"/>
      <c r="U53" s="44" t="s">
        <v>917</v>
      </c>
      <c r="V53" s="44" t="s">
        <v>917</v>
      </c>
    </row>
    <row r="54" spans="1:22" ht="13">
      <c r="A54" s="32" t="s">
        <v>933</v>
      </c>
      <c r="B54" s="57" t="s">
        <v>934</v>
      </c>
      <c r="C54" s="44"/>
      <c r="D54" s="428" t="s">
        <v>935</v>
      </c>
      <c r="E54" s="432">
        <v>46166</v>
      </c>
      <c r="G54" s="32" t="s">
        <v>910</v>
      </c>
      <c r="H54" s="44"/>
      <c r="N54" s="325" t="s">
        <v>936</v>
      </c>
      <c r="O54" s="433">
        <v>132</v>
      </c>
      <c r="P54" s="433">
        <v>4</v>
      </c>
      <c r="Q54" s="434"/>
      <c r="R54" s="41"/>
      <c r="T54" s="41"/>
      <c r="U54" s="41"/>
      <c r="V54" s="41"/>
    </row>
    <row r="55" spans="1:22" ht="13">
      <c r="A55" s="32" t="s">
        <v>937</v>
      </c>
      <c r="B55" s="431" t="s">
        <v>938</v>
      </c>
      <c r="C55" s="44"/>
      <c r="D55" s="428" t="s">
        <v>939</v>
      </c>
      <c r="E55" s="429">
        <v>46167</v>
      </c>
      <c r="G55" s="32" t="s">
        <v>910</v>
      </c>
      <c r="H55" s="44"/>
      <c r="N55" s="327" t="s">
        <v>940</v>
      </c>
      <c r="O55" s="435">
        <v>203</v>
      </c>
      <c r="P55" s="436"/>
      <c r="Q55" s="44"/>
      <c r="R55" s="44"/>
      <c r="T55" s="44"/>
      <c r="U55" s="44"/>
      <c r="V55" s="44"/>
    </row>
    <row r="56" spans="1:22" ht="13">
      <c r="A56" s="32" t="s">
        <v>941</v>
      </c>
      <c r="B56" s="57" t="s">
        <v>942</v>
      </c>
      <c r="C56" s="44"/>
      <c r="D56" s="428" t="s">
        <v>943</v>
      </c>
      <c r="E56" s="437"/>
      <c r="G56" s="32" t="s">
        <v>910</v>
      </c>
      <c r="H56" s="44"/>
      <c r="N56" s="44" t="str">
        <f ca="1">IFERROR(__xludf.DUMMYFUNCTION("IFERROR(VLOOKUP(TRIM(O56), IMPORTRANGE(""1FiGIDbWXbrw3ESuMmD14r8eot08bsJofQ75uiKf4zAA"", ""23yearsold 1차!B:C""), 2, FALSE), """")"),"")</f>
        <v/>
      </c>
      <c r="O56" s="44"/>
      <c r="P56" s="44"/>
      <c r="Q56" s="44"/>
      <c r="R56" s="44"/>
      <c r="T56" s="44" t="str">
        <f ca="1">IFERROR(__xludf.DUMMYFUNCTION("IFERROR(VLOOKUP(TRIM(N56), IMPORTRANGE(""1FiGIDbWXbrw3ESuMmD14r8eot08bsJofQ75uiKf4zAA"", ""23yearsold 1차!B:D""), 3, FALSE), """")"),"")</f>
        <v/>
      </c>
      <c r="U56" s="44" t="str">
        <f ca="1">IFERROR(__xludf.DUMMYFUNCTION("IFERROR(VLOOKUP(TRIM(N56), IMPORTRANGE(""1FiGIDbWXbrw3ESuMmD14r8eot08bsJofQ75uiKf4zAA"", ""23yearsold 1차!B:E""), 4, FALSE), """")"),"")</f>
        <v/>
      </c>
      <c r="V56" s="44" t="str">
        <f ca="1">IFERROR(__xludf.DUMMYFUNCTION("IFERROR(VLOOKUP(TRIM(N56), IMPORTRANGE(""1FiGIDbWXbrw3ESuMmD14r8eot08bsJofQ75uiKf4zAA"", ""23yearsold 1차!B:F""), 5, FALSE), """")"),"")</f>
        <v/>
      </c>
    </row>
    <row r="57" spans="1:22" ht="13">
      <c r="A57" s="32" t="s">
        <v>944</v>
      </c>
      <c r="B57" s="57" t="s">
        <v>945</v>
      </c>
      <c r="C57" s="44"/>
      <c r="D57" s="428" t="s">
        <v>946</v>
      </c>
      <c r="E57" s="437"/>
      <c r="G57" s="32" t="s">
        <v>910</v>
      </c>
      <c r="H57" s="44"/>
      <c r="N57" s="44" t="str">
        <f ca="1">IFERROR(__xludf.DUMMYFUNCTION("IFERROR(VLOOKUP(TRIM(O57), IMPORTRANGE(""1FiGIDbWXbrw3ESuMmD14r8eot08bsJofQ75uiKf4zAA"", ""23yearsold 1차!B:C""), 2, FALSE), """")"),"")</f>
        <v/>
      </c>
      <c r="O57" s="44"/>
      <c r="P57" s="44"/>
      <c r="Q57" s="44"/>
      <c r="R57" s="44"/>
      <c r="T57" s="44" t="str">
        <f ca="1">IFERROR(__xludf.DUMMYFUNCTION("IFERROR(VLOOKUP(TRIM(N57), IMPORTRANGE(""1FiGIDbWXbrw3ESuMmD14r8eot08bsJofQ75uiKf4zAA"", ""23yearsold 1차!B:D""), 3, FALSE), """")"),"")</f>
        <v/>
      </c>
      <c r="U57" s="44" t="str">
        <f ca="1">IFERROR(__xludf.DUMMYFUNCTION("IFERROR(VLOOKUP(TRIM(N57), IMPORTRANGE(""1FiGIDbWXbrw3ESuMmD14r8eot08bsJofQ75uiKf4zAA"", ""23yearsold 1차!B:E""), 4, FALSE), """")"),"")</f>
        <v/>
      </c>
      <c r="V57" s="44" t="str">
        <f ca="1">IFERROR(__xludf.DUMMYFUNCTION("IFERROR(VLOOKUP(TRIM(N57), IMPORTRANGE(""1FiGIDbWXbrw3ESuMmD14r8eot08bsJofQ75uiKf4zAA"", ""23yearsold 1차!B:F""), 5, FALSE), """")"),"")</f>
        <v/>
      </c>
    </row>
    <row r="58" spans="1:22" ht="13">
      <c r="A58" s="32" t="s">
        <v>947</v>
      </c>
      <c r="B58" s="57" t="s">
        <v>948</v>
      </c>
      <c r="C58" s="44"/>
      <c r="D58" s="44"/>
      <c r="E58" s="437"/>
      <c r="G58" s="32" t="s">
        <v>910</v>
      </c>
      <c r="H58" s="44"/>
      <c r="N58" s="44" t="str">
        <f ca="1">IFERROR(__xludf.DUMMYFUNCTION("IFERROR(VLOOKUP(TRIM(O58), IMPORTRANGE(""1FiGIDbWXbrw3ESuMmD14r8eot08bsJofQ75uiKf4zAA"", ""23yearsold 1차!B:C""), 2, FALSE), """")"),"")</f>
        <v/>
      </c>
      <c r="O58" s="44"/>
      <c r="P58" s="44"/>
      <c r="Q58" s="44"/>
      <c r="R58" s="44"/>
      <c r="T58" s="44" t="str">
        <f ca="1">IFERROR(__xludf.DUMMYFUNCTION("IFERROR(VLOOKUP(TRIM(N58), IMPORTRANGE(""1FiGIDbWXbrw3ESuMmD14r8eot08bsJofQ75uiKf4zAA"", ""23yearsold 1차!B:D""), 3, FALSE), """")"),"")</f>
        <v/>
      </c>
      <c r="U58" s="44" t="str">
        <f ca="1">IFERROR(__xludf.DUMMYFUNCTION("IFERROR(VLOOKUP(TRIM(N58), IMPORTRANGE(""1FiGIDbWXbrw3ESuMmD14r8eot08bsJofQ75uiKf4zAA"", ""23yearsold 1차!B:E""), 4, FALSE), """")"),"")</f>
        <v/>
      </c>
      <c r="V58" s="44" t="str">
        <f ca="1">IFERROR(__xludf.DUMMYFUNCTION("IFERROR(VLOOKUP(TRIM(N58), IMPORTRANGE(""1FiGIDbWXbrw3ESuMmD14r8eot08bsJofQ75uiKf4zAA"", ""23yearsold 1차!B:F""), 5, FALSE), """")"),"")</f>
        <v/>
      </c>
    </row>
    <row r="59" spans="1:22" ht="13">
      <c r="A59" s="32" t="s">
        <v>949</v>
      </c>
      <c r="B59" s="431" t="s">
        <v>950</v>
      </c>
      <c r="C59" s="44"/>
      <c r="D59" s="428" t="s">
        <v>951</v>
      </c>
      <c r="E59" s="437"/>
      <c r="G59" s="32" t="s">
        <v>910</v>
      </c>
      <c r="H59" s="44"/>
      <c r="N59" s="44" t="str">
        <f ca="1">IFERROR(__xludf.DUMMYFUNCTION("IFERROR(VLOOKUP(TRIM(O59), IMPORTRANGE(""1FiGIDbWXbrw3ESuMmD14r8eot08bsJofQ75uiKf4zAA"", ""23yearsold 1차!B:C""), 2, FALSE), """")"),"")</f>
        <v/>
      </c>
      <c r="O59" s="44"/>
      <c r="P59" s="44"/>
      <c r="Q59" s="44"/>
      <c r="R59" s="44"/>
      <c r="T59" s="44" t="str">
        <f ca="1">IFERROR(__xludf.DUMMYFUNCTION("IFERROR(VLOOKUP(TRIM(N59), IMPORTRANGE(""1FiGIDbWXbrw3ESuMmD14r8eot08bsJofQ75uiKf4zAA"", ""23yearsold 1차!B:D""), 3, FALSE), """")"),"")</f>
        <v/>
      </c>
      <c r="U59" s="44" t="str">
        <f ca="1">IFERROR(__xludf.DUMMYFUNCTION("IFERROR(VLOOKUP(TRIM(N59), IMPORTRANGE(""1FiGIDbWXbrw3ESuMmD14r8eot08bsJofQ75uiKf4zAA"", ""23yearsold 1차!B:E""), 4, FALSE), """")"),"")</f>
        <v/>
      </c>
      <c r="V59" s="44" t="str">
        <f ca="1">IFERROR(__xludf.DUMMYFUNCTION("IFERROR(VLOOKUP(TRIM(N59), IMPORTRANGE(""1FiGIDbWXbrw3ESuMmD14r8eot08bsJofQ75uiKf4zAA"", ""23yearsold 1차!B:F""), 5, FALSE), """")"),"")</f>
        <v/>
      </c>
    </row>
    <row r="60" spans="1:22" ht="13">
      <c r="A60" s="438" t="s">
        <v>952</v>
      </c>
      <c r="B60" s="205" t="s">
        <v>953</v>
      </c>
      <c r="C60" s="36"/>
      <c r="D60" s="439" t="s">
        <v>954</v>
      </c>
      <c r="E60" s="437"/>
      <c r="G60" s="32" t="s">
        <v>910</v>
      </c>
      <c r="H60" s="44"/>
      <c r="N60" s="44" t="str">
        <f ca="1">IFERROR(__xludf.DUMMYFUNCTION("IFERROR(VLOOKUP(TRIM(O60), IMPORTRANGE(""1FiGIDbWXbrw3ESuMmD14r8eot08bsJofQ75uiKf4zAA"", ""23yearsold 1차!B:C""), 2, FALSE), """")"),"")</f>
        <v/>
      </c>
      <c r="O60" s="44"/>
      <c r="P60" s="44"/>
      <c r="Q60" s="44"/>
      <c r="R60" s="44"/>
      <c r="T60" s="44" t="str">
        <f ca="1">IFERROR(__xludf.DUMMYFUNCTION("IFERROR(VLOOKUP(TRIM(N60), IMPORTRANGE(""1FiGIDbWXbrw3ESuMmD14r8eot08bsJofQ75uiKf4zAA"", ""23yearsold 1차!B:D""), 3, FALSE), """")"),"")</f>
        <v/>
      </c>
      <c r="U60" s="44" t="str">
        <f ca="1">IFERROR(__xludf.DUMMYFUNCTION("IFERROR(VLOOKUP(TRIM(N60), IMPORTRANGE(""1FiGIDbWXbrw3ESuMmD14r8eot08bsJofQ75uiKf4zAA"", ""23yearsold 1차!B:E""), 4, FALSE), """")"),"")</f>
        <v/>
      </c>
      <c r="V60" s="44" t="str">
        <f ca="1">IFERROR(__xludf.DUMMYFUNCTION("IFERROR(VLOOKUP(TRIM(N60), IMPORTRANGE(""1FiGIDbWXbrw3ESuMmD14r8eot08bsJofQ75uiKf4zAA"", ""23yearsold 1차!B:F""), 5, FALSE), """")"),"")</f>
        <v/>
      </c>
    </row>
    <row r="61" spans="1:22" ht="13">
      <c r="A61" s="32" t="s">
        <v>955</v>
      </c>
      <c r="B61" s="57" t="s">
        <v>956</v>
      </c>
      <c r="C61" s="428" t="s">
        <v>957</v>
      </c>
      <c r="D61" s="44"/>
      <c r="E61" s="429">
        <v>46161</v>
      </c>
      <c r="G61" s="32" t="s">
        <v>910</v>
      </c>
      <c r="H61" s="440" t="s">
        <v>958</v>
      </c>
      <c r="N61" s="327" t="s">
        <v>959</v>
      </c>
      <c r="O61" s="57">
        <v>154</v>
      </c>
      <c r="P61" s="57">
        <v>27</v>
      </c>
      <c r="Q61" s="44"/>
      <c r="R61" s="44"/>
      <c r="T61" s="44"/>
      <c r="U61" s="327"/>
      <c r="V61" s="327"/>
    </row>
    <row r="62" spans="1:22" ht="13">
      <c r="A62" s="32" t="s">
        <v>960</v>
      </c>
      <c r="B62" s="57" t="s">
        <v>961</v>
      </c>
      <c r="C62" s="44"/>
      <c r="D62" s="428" t="s">
        <v>962</v>
      </c>
      <c r="E62" s="429">
        <v>46166</v>
      </c>
      <c r="G62" s="32" t="s">
        <v>910</v>
      </c>
      <c r="H62" s="44"/>
      <c r="N62" s="327" t="s">
        <v>963</v>
      </c>
      <c r="O62" s="435">
        <v>153</v>
      </c>
      <c r="P62" s="435">
        <v>4</v>
      </c>
      <c r="Q62" s="44"/>
      <c r="R62" s="44"/>
      <c r="T62" s="44"/>
      <c r="U62" s="44"/>
      <c r="V62" s="44"/>
    </row>
    <row r="63" spans="1:22" ht="13">
      <c r="A63" s="32" t="s">
        <v>964</v>
      </c>
      <c r="B63" s="431" t="s">
        <v>965</v>
      </c>
      <c r="C63" s="44"/>
      <c r="D63" s="428" t="s">
        <v>966</v>
      </c>
      <c r="E63" s="429">
        <v>46161</v>
      </c>
      <c r="G63" s="32" t="s">
        <v>910</v>
      </c>
      <c r="H63" s="44"/>
      <c r="N63" s="327" t="s">
        <v>967</v>
      </c>
      <c r="O63" s="57">
        <v>104</v>
      </c>
      <c r="P63" s="57">
        <v>17</v>
      </c>
      <c r="Q63" s="57">
        <v>1</v>
      </c>
      <c r="R63" s="44"/>
      <c r="T63" s="44"/>
      <c r="V63" s="44"/>
    </row>
    <row r="64" spans="1:22" ht="13">
      <c r="A64" s="32" t="s">
        <v>968</v>
      </c>
      <c r="B64" s="57" t="s">
        <v>969</v>
      </c>
      <c r="C64" s="44"/>
      <c r="D64" s="44"/>
      <c r="E64" s="429">
        <v>46161</v>
      </c>
      <c r="G64" s="32" t="s">
        <v>910</v>
      </c>
      <c r="H64" s="327" t="s">
        <v>970</v>
      </c>
      <c r="N64" s="327" t="s">
        <v>971</v>
      </c>
      <c r="O64" s="57">
        <v>145</v>
      </c>
      <c r="P64" s="57">
        <v>34</v>
      </c>
      <c r="Q64" s="57">
        <v>2</v>
      </c>
      <c r="R64" s="57">
        <v>2</v>
      </c>
      <c r="T64" s="44"/>
      <c r="V64" s="44"/>
    </row>
    <row r="65" spans="1:22" ht="13">
      <c r="A65" s="32" t="s">
        <v>972</v>
      </c>
      <c r="B65" s="57" t="s">
        <v>973</v>
      </c>
      <c r="C65" s="428" t="s">
        <v>974</v>
      </c>
      <c r="D65" s="44"/>
      <c r="E65" s="429">
        <v>46161</v>
      </c>
      <c r="G65" s="32" t="s">
        <v>910</v>
      </c>
      <c r="H65" s="327" t="s">
        <v>975</v>
      </c>
      <c r="I65" s="57">
        <v>160</v>
      </c>
      <c r="J65" s="57">
        <v>5</v>
      </c>
      <c r="N65" s="44"/>
      <c r="Q65" s="57">
        <v>1</v>
      </c>
      <c r="R65" s="44"/>
      <c r="T65" s="44"/>
      <c r="V65" s="44"/>
    </row>
    <row r="66" spans="1:22" ht="13">
      <c r="A66" s="32" t="s">
        <v>976</v>
      </c>
      <c r="B66" s="57" t="s">
        <v>977</v>
      </c>
      <c r="C66" s="44"/>
      <c r="D66" s="428" t="s">
        <v>978</v>
      </c>
      <c r="E66" s="429">
        <v>46167</v>
      </c>
      <c r="G66" s="32" t="s">
        <v>910</v>
      </c>
      <c r="H66" s="44"/>
      <c r="N66" s="327" t="s">
        <v>979</v>
      </c>
      <c r="O66" s="57">
        <v>149</v>
      </c>
      <c r="P66" s="57">
        <v>19</v>
      </c>
      <c r="Q66" s="44"/>
      <c r="R66" s="44"/>
      <c r="T66" s="44" t="str">
        <f ca="1">IFERROR(__xludf.DUMMYFUNCTION("IFERROR(VLOOKUP(TRIM(N66), IMPORTRANGE(""1FiGIDbWXbrw3ESuMmD14r8eot08bsJofQ75uiKf4zAA"", ""23yearsold 1차!B:D""), 3, FALSE), """")"),"")</f>
        <v/>
      </c>
      <c r="U66" s="44" t="str">
        <f ca="1">IFERROR(__xludf.DUMMYFUNCTION("IFERROR(VLOOKUP(TRIM(N66), IMPORTRANGE(""1FiGIDbWXbrw3ESuMmD14r8eot08bsJofQ75uiKf4zAA"", ""23yearsold 1차!B:E""), 4, FALSE), """")"),"")</f>
        <v/>
      </c>
      <c r="V66" s="44" t="str">
        <f ca="1">IFERROR(__xludf.DUMMYFUNCTION("IFERROR(VLOOKUP(TRIM(N66), IMPORTRANGE(""1FiGIDbWXbrw3ESuMmD14r8eot08bsJofQ75uiKf4zAA"", ""23yearsold 1차!B:F""), 5, FALSE), """")"),"")</f>
        <v/>
      </c>
    </row>
    <row r="67" spans="1:22" ht="13">
      <c r="A67" s="32" t="s">
        <v>980</v>
      </c>
      <c r="B67" s="57" t="s">
        <v>981</v>
      </c>
      <c r="C67" s="44"/>
      <c r="D67" s="428" t="s">
        <v>982</v>
      </c>
      <c r="E67" s="429">
        <v>46162</v>
      </c>
      <c r="G67" s="32" t="s">
        <v>910</v>
      </c>
      <c r="H67" s="44"/>
      <c r="N67" s="327" t="s">
        <v>982</v>
      </c>
      <c r="O67" s="44"/>
      <c r="P67" s="57">
        <v>5</v>
      </c>
      <c r="Q67" s="44"/>
      <c r="R67" s="44"/>
      <c r="T67" s="44"/>
      <c r="U67" s="44"/>
      <c r="V67" s="44"/>
    </row>
    <row r="68" spans="1:22" ht="13">
      <c r="A68" s="32" t="s">
        <v>983</v>
      </c>
      <c r="B68" s="431" t="s">
        <v>984</v>
      </c>
      <c r="C68" s="44"/>
      <c r="D68" s="428" t="s">
        <v>985</v>
      </c>
      <c r="E68" s="429">
        <v>46163</v>
      </c>
      <c r="G68" s="32" t="s">
        <v>910</v>
      </c>
      <c r="H68" s="44"/>
      <c r="N68" s="327" t="s">
        <v>986</v>
      </c>
      <c r="O68" s="44"/>
      <c r="P68" s="57">
        <v>51</v>
      </c>
      <c r="Q68" s="57">
        <v>7</v>
      </c>
      <c r="R68" s="44"/>
      <c r="T68" s="44"/>
      <c r="U68" s="44"/>
      <c r="V68" s="44"/>
    </row>
    <row r="69" spans="1:22" ht="13">
      <c r="A69" s="32" t="s">
        <v>987</v>
      </c>
      <c r="B69" s="431" t="s">
        <v>988</v>
      </c>
      <c r="C69" s="44"/>
      <c r="D69" s="428" t="s">
        <v>989</v>
      </c>
      <c r="E69" s="429">
        <v>46166</v>
      </c>
      <c r="G69" s="32" t="s">
        <v>910</v>
      </c>
      <c r="H69" s="44"/>
      <c r="N69" s="327" t="s">
        <v>990</v>
      </c>
      <c r="O69" s="436"/>
      <c r="P69" s="435">
        <v>19</v>
      </c>
      <c r="Q69" s="44"/>
      <c r="R69" s="44"/>
      <c r="T69" s="44"/>
      <c r="U69" s="44"/>
      <c r="V69" s="44"/>
    </row>
    <row r="70" spans="1:22" ht="13">
      <c r="A70" s="32" t="s">
        <v>991</v>
      </c>
      <c r="B70" s="57" t="s">
        <v>992</v>
      </c>
      <c r="C70" s="44"/>
      <c r="D70" s="428" t="s">
        <v>993</v>
      </c>
      <c r="E70" s="429">
        <v>46166</v>
      </c>
      <c r="G70" s="32" t="s">
        <v>910</v>
      </c>
      <c r="H70" s="44"/>
      <c r="N70" s="327" t="s">
        <v>994</v>
      </c>
      <c r="O70" s="436"/>
      <c r="P70" s="436"/>
      <c r="Q70" s="44"/>
      <c r="R70" s="44"/>
      <c r="T70" s="44"/>
      <c r="U70" s="44"/>
      <c r="V70" s="44"/>
    </row>
    <row r="71" spans="1:22" ht="13">
      <c r="A71" s="32" t="s">
        <v>995</v>
      </c>
      <c r="B71" s="57" t="s">
        <v>996</v>
      </c>
      <c r="C71" s="44"/>
      <c r="D71" s="428" t="s">
        <v>997</v>
      </c>
      <c r="E71" s="429">
        <v>46161</v>
      </c>
      <c r="G71" s="32" t="s">
        <v>910</v>
      </c>
      <c r="H71" s="44"/>
      <c r="N71" s="327" t="s">
        <v>998</v>
      </c>
      <c r="O71" s="44"/>
      <c r="P71" s="57">
        <v>9</v>
      </c>
      <c r="Q71" s="44"/>
      <c r="R71" s="44"/>
      <c r="T71" s="44"/>
      <c r="U71" s="44"/>
      <c r="V71" s="44"/>
    </row>
    <row r="72" spans="1:22" ht="13">
      <c r="A72" s="32" t="s">
        <v>1000</v>
      </c>
      <c r="B72" s="57" t="s">
        <v>1001</v>
      </c>
      <c r="C72" s="44"/>
      <c r="D72" s="428" t="s">
        <v>1002</v>
      </c>
      <c r="E72" s="429">
        <v>46168</v>
      </c>
      <c r="G72" s="32" t="s">
        <v>910</v>
      </c>
      <c r="H72" s="441" t="s">
        <v>1003</v>
      </c>
      <c r="N72" s="327" t="s">
        <v>1004</v>
      </c>
      <c r="O72" s="57">
        <v>971</v>
      </c>
      <c r="P72" s="57">
        <v>17</v>
      </c>
      <c r="Q72" s="44"/>
      <c r="R72" s="57">
        <v>1</v>
      </c>
      <c r="U72" s="441"/>
      <c r="V72" s="327"/>
    </row>
    <row r="73" spans="1:22" ht="13">
      <c r="A73" s="32" t="s">
        <v>1005</v>
      </c>
      <c r="B73" s="57" t="s">
        <v>1006</v>
      </c>
      <c r="C73" s="44"/>
      <c r="D73" s="428" t="s">
        <v>1007</v>
      </c>
      <c r="E73" s="429">
        <v>46166</v>
      </c>
      <c r="G73" s="32" t="s">
        <v>910</v>
      </c>
      <c r="H73" s="44"/>
      <c r="N73" s="327" t="s">
        <v>1008</v>
      </c>
      <c r="O73" s="436"/>
      <c r="P73" s="435">
        <v>16</v>
      </c>
      <c r="Q73" s="44"/>
      <c r="R73" s="44"/>
      <c r="T73" s="44"/>
      <c r="U73" s="44"/>
      <c r="V73" s="44"/>
    </row>
    <row r="74" spans="1:22" ht="13">
      <c r="A74" s="32" t="s">
        <v>1009</v>
      </c>
      <c r="B74" s="57" t="s">
        <v>1010</v>
      </c>
      <c r="C74" s="44"/>
      <c r="D74" s="428" t="s">
        <v>1011</v>
      </c>
      <c r="E74" s="429">
        <v>46165</v>
      </c>
      <c r="G74" s="32" t="s">
        <v>910</v>
      </c>
      <c r="H74" s="44"/>
      <c r="N74" s="327" t="s">
        <v>1012</v>
      </c>
      <c r="O74" s="435">
        <v>518</v>
      </c>
      <c r="P74" s="435">
        <v>97</v>
      </c>
      <c r="Q74" s="44"/>
      <c r="R74" s="44"/>
      <c r="T74" s="44"/>
      <c r="U74" s="44"/>
      <c r="V74" s="44"/>
    </row>
    <row r="75" spans="1:22" ht="13">
      <c r="A75" s="32" t="s">
        <v>1013</v>
      </c>
      <c r="B75" s="431" t="s">
        <v>1014</v>
      </c>
      <c r="C75" s="44"/>
      <c r="D75" s="428" t="s">
        <v>1015</v>
      </c>
      <c r="E75" s="429">
        <v>46167</v>
      </c>
      <c r="G75" s="32" t="s">
        <v>910</v>
      </c>
      <c r="H75" s="327" t="s">
        <v>1016</v>
      </c>
      <c r="N75" s="327" t="s">
        <v>1017</v>
      </c>
      <c r="O75" s="436"/>
      <c r="P75" s="435" t="s">
        <v>1018</v>
      </c>
      <c r="Q75" s="44"/>
      <c r="R75" s="44"/>
      <c r="T75" s="44"/>
      <c r="U75" s="44"/>
    </row>
    <row r="76" spans="1:22" ht="13">
      <c r="A76" s="32" t="s">
        <v>1019</v>
      </c>
      <c r="B76" s="57" t="s">
        <v>1020</v>
      </c>
      <c r="C76" s="44"/>
      <c r="D76" s="428" t="s">
        <v>1021</v>
      </c>
      <c r="E76" s="429">
        <v>46161</v>
      </c>
      <c r="G76" s="32" t="s">
        <v>910</v>
      </c>
      <c r="H76" s="44"/>
      <c r="N76" s="327" t="s">
        <v>1022</v>
      </c>
      <c r="O76" s="57">
        <v>17</v>
      </c>
      <c r="P76" s="57">
        <v>3</v>
      </c>
      <c r="Q76" s="44"/>
      <c r="R76" s="44"/>
      <c r="T76" s="44"/>
      <c r="U76" s="44"/>
    </row>
    <row r="77" spans="1:22" ht="13">
      <c r="A77" s="32" t="s">
        <v>1023</v>
      </c>
      <c r="B77" s="57" t="s">
        <v>1024</v>
      </c>
      <c r="C77" s="44"/>
      <c r="D77" s="44"/>
      <c r="E77" s="432">
        <v>46166</v>
      </c>
      <c r="G77" s="32" t="s">
        <v>910</v>
      </c>
      <c r="H77" s="442" t="s">
        <v>1025</v>
      </c>
      <c r="I77" s="90">
        <v>409</v>
      </c>
      <c r="J77" s="90">
        <v>69</v>
      </c>
      <c r="N77" s="41"/>
      <c r="Q77" s="41"/>
      <c r="R77" s="41"/>
      <c r="U77" s="325"/>
    </row>
    <row r="78" spans="1:22" ht="13">
      <c r="A78" s="32" t="s">
        <v>1026</v>
      </c>
      <c r="B78" s="57" t="s">
        <v>1027</v>
      </c>
      <c r="C78" s="44"/>
      <c r="D78" s="428" t="s">
        <v>1028</v>
      </c>
      <c r="E78" s="437"/>
      <c r="G78" s="32" t="s">
        <v>910</v>
      </c>
      <c r="H78" s="44" t="str">
        <f ca="1">IFERROR(__xludf.DUMMYFUNCTION("IFERROR(VLOOKUP(TRIM(N78), IMPORTRANGE(""1FiGIDbWXbrw3ESuMmD14r8eot08bsJofQ75uiKf4zAA"", ""23yearsold 1차!B:F""), 5, FALSE), """")"),"")</f>
        <v/>
      </c>
      <c r="N78" s="44" t="str">
        <f ca="1">IFERROR(__xludf.DUMMYFUNCTION("IFERROR(VLOOKUP(TRIM(O78), IMPORTRANGE(""1FiGIDbWXbrw3ESuMmD14r8eot08bsJofQ75uiKf4zAA"", ""23yearsold 1차!B:C""), 2, FALSE), """")"),"")</f>
        <v/>
      </c>
      <c r="O78" s="44"/>
      <c r="P78" s="44"/>
      <c r="Q78" s="44"/>
      <c r="R78" s="44"/>
      <c r="T78" s="44" t="str">
        <f ca="1">IFERROR(__xludf.DUMMYFUNCTION("IFERROR(VLOOKUP(TRIM(N78), IMPORTRANGE(""1FiGIDbWXbrw3ESuMmD14r8eot08bsJofQ75uiKf4zAA"", ""23yearsold 1차!B:D""), 3, FALSE), """")"),"")</f>
        <v/>
      </c>
      <c r="U78" s="44"/>
    </row>
    <row r="79" spans="1:22" ht="13">
      <c r="A79" s="32" t="s">
        <v>1029</v>
      </c>
      <c r="B79" s="431" t="s">
        <v>1030</v>
      </c>
      <c r="C79" s="44"/>
      <c r="D79" s="44"/>
      <c r="E79" s="429">
        <v>46178</v>
      </c>
      <c r="G79" s="32" t="s">
        <v>910</v>
      </c>
      <c r="H79" s="327" t="s">
        <v>1031</v>
      </c>
      <c r="I79" s="57">
        <v>337</v>
      </c>
      <c r="J79" s="57">
        <v>12</v>
      </c>
      <c r="N79" s="44" t="str">
        <f ca="1">IFERROR(__xludf.DUMMYFUNCTION("IFERROR(VLOOKUP(TRIM(I79), IMPORTRANGE(""1FiGIDbWXbrw3ESuMmD14r8eot08bsJofQ75uiKf4zAA"", ""23yearsold 1차!B:C""), 2, FALSE), """")"),"")</f>
        <v/>
      </c>
      <c r="Q79" s="44"/>
      <c r="R79" s="44"/>
    </row>
    <row r="80" spans="1:22" ht="13">
      <c r="A80" s="32" t="s">
        <v>1032</v>
      </c>
      <c r="B80" s="57" t="s">
        <v>1033</v>
      </c>
      <c r="C80" s="44"/>
      <c r="D80" s="44"/>
      <c r="E80" s="429">
        <v>46167</v>
      </c>
      <c r="G80" s="32" t="s">
        <v>910</v>
      </c>
      <c r="H80" s="44"/>
      <c r="N80" s="327" t="s">
        <v>1034</v>
      </c>
      <c r="O80" s="436"/>
      <c r="P80" s="435">
        <v>8</v>
      </c>
      <c r="Q80" s="44"/>
      <c r="R80" s="44"/>
      <c r="T80" s="44"/>
      <c r="U80" s="44"/>
    </row>
    <row r="81" spans="1:21" ht="13">
      <c r="A81" s="32" t="s">
        <v>1035</v>
      </c>
      <c r="B81" s="57" t="s">
        <v>1036</v>
      </c>
      <c r="C81" s="44"/>
      <c r="D81" s="44"/>
      <c r="E81" s="429">
        <v>46165</v>
      </c>
      <c r="G81" s="32" t="s">
        <v>910</v>
      </c>
      <c r="H81" s="441" t="s">
        <v>1037</v>
      </c>
      <c r="I81" s="435" t="s">
        <v>1038</v>
      </c>
      <c r="J81" s="435" t="s">
        <v>1039</v>
      </c>
      <c r="N81" s="44"/>
      <c r="Q81" s="44"/>
      <c r="R81" s="44"/>
      <c r="U81" s="327"/>
    </row>
    <row r="82" spans="1:21" ht="13">
      <c r="A82" s="32" t="s">
        <v>1040</v>
      </c>
      <c r="B82" s="57" t="s">
        <v>1041</v>
      </c>
      <c r="C82" s="428" t="s">
        <v>1042</v>
      </c>
      <c r="D82" s="428" t="s">
        <v>1043</v>
      </c>
      <c r="E82" s="429">
        <v>46162</v>
      </c>
      <c r="G82" s="32" t="s">
        <v>910</v>
      </c>
      <c r="H82" s="442" t="s">
        <v>1044</v>
      </c>
      <c r="N82" s="446" t="s">
        <v>1045</v>
      </c>
      <c r="O82" s="57">
        <v>344</v>
      </c>
      <c r="P82" s="57">
        <v>34</v>
      </c>
      <c r="Q82" s="44"/>
      <c r="R82" s="44"/>
      <c r="T82" s="446"/>
      <c r="U82" s="446"/>
    </row>
    <row r="83" spans="1:21" ht="13">
      <c r="A83" s="32" t="s">
        <v>1046</v>
      </c>
      <c r="B83" s="57" t="s">
        <v>1047</v>
      </c>
      <c r="C83" s="44"/>
      <c r="D83" s="428" t="s">
        <v>1048</v>
      </c>
      <c r="E83" s="437"/>
      <c r="G83" s="32" t="s">
        <v>910</v>
      </c>
      <c r="H83" s="44" t="str">
        <f ca="1">IFERROR(__xludf.DUMMYFUNCTION("IFERROR(VLOOKUP(TRIM(N83), IMPORTRANGE(""1FiGIDbWXbrw3ESuMmD14r8eot08bsJofQ75uiKf4zAA"", ""23yearsold 1차!B:F""), 5, FALSE), """")"),"")</f>
        <v/>
      </c>
      <c r="N83" s="44" t="str">
        <f ca="1">IFERROR(__xludf.DUMMYFUNCTION("IFERROR(VLOOKUP(TRIM(O83), IMPORTRANGE(""1FiGIDbWXbrw3ESuMmD14r8eot08bsJofQ75uiKf4zAA"", ""23yearsold 1차!B:C""), 2, FALSE), """")"),"")</f>
        <v/>
      </c>
      <c r="O83" s="44"/>
      <c r="P83" s="44"/>
      <c r="Q83" s="44"/>
      <c r="R83" s="44"/>
      <c r="T83" s="44"/>
      <c r="U83" s="44" t="str">
        <f ca="1">IFERROR(__xludf.DUMMYFUNCTION("IFERROR(VLOOKUP(TRIM(O83), IMPORTRANGE(""1FiGIDbWXbrw3ESuMmD14r8eot08bsJofQ75uiKf4zAA"", ""23yearsold 1차!B:D""), 3, FALSE), """")"),"")</f>
        <v/>
      </c>
    </row>
    <row r="84" spans="1:21" ht="13">
      <c r="A84" s="32" t="s">
        <v>1049</v>
      </c>
      <c r="B84" s="57" t="s">
        <v>1050</v>
      </c>
      <c r="C84" s="44"/>
      <c r="D84" s="428" t="s">
        <v>1051</v>
      </c>
      <c r="E84" s="429">
        <v>46169</v>
      </c>
      <c r="G84" s="32" t="s">
        <v>910</v>
      </c>
      <c r="H84" s="44" t="str">
        <f ca="1">IFERROR(__xludf.DUMMYFUNCTION("IFERROR(VLOOKUP(TRIM(N84), IMPORTRANGE(""1FiGIDbWXbrw3ESuMmD14r8eot08bsJofQ75uiKf4zAA"", ""23yearsold 1차!B:F""), 5, FALSE), """")"),"")</f>
        <v/>
      </c>
      <c r="N84" s="327" t="s">
        <v>1052</v>
      </c>
      <c r="O84" s="44"/>
      <c r="P84" s="57">
        <v>22</v>
      </c>
      <c r="Q84" s="44"/>
      <c r="R84" s="44"/>
      <c r="T84" s="44"/>
      <c r="U84" s="44" t="str">
        <f ca="1">IFERROR(__xludf.DUMMYFUNCTION("IFERROR(VLOOKUP(TRIM(O84), IMPORTRANGE(""1FiGIDbWXbrw3ESuMmD14r8eot08bsJofQ75uiKf4zAA"", ""23yearsold 1차!B:D""), 3, FALSE), """")"),"")</f>
        <v/>
      </c>
    </row>
    <row r="85" spans="1:21" ht="13">
      <c r="A85" s="447" t="s">
        <v>1053</v>
      </c>
      <c r="B85" s="448" t="s">
        <v>1054</v>
      </c>
      <c r="C85" s="449" t="s">
        <v>1055</v>
      </c>
      <c r="D85" s="41"/>
      <c r="E85" s="429">
        <v>46162</v>
      </c>
      <c r="G85" s="32" t="s">
        <v>910</v>
      </c>
      <c r="H85" s="44"/>
      <c r="I85" s="447"/>
      <c r="J85" s="447"/>
      <c r="K85" s="447"/>
      <c r="L85" s="447"/>
      <c r="N85" s="327" t="s">
        <v>1056</v>
      </c>
      <c r="O85" s="435">
        <v>149</v>
      </c>
      <c r="P85" s="436"/>
      <c r="Q85" s="44"/>
      <c r="R85" s="44"/>
      <c r="T85" s="44"/>
      <c r="U85" s="44"/>
    </row>
    <row r="86" spans="1:21" ht="13">
      <c r="A86" s="450" t="s">
        <v>1057</v>
      </c>
      <c r="B86" s="451" t="s">
        <v>1058</v>
      </c>
      <c r="C86" s="106"/>
      <c r="D86" s="106"/>
      <c r="E86" s="437"/>
      <c r="G86" s="32" t="s">
        <v>910</v>
      </c>
      <c r="H86" s="44" t="str">
        <f ca="1">IFERROR(__xludf.DUMMYFUNCTION("IFERROR(VLOOKUP(TRIM(N86), IMPORTRANGE(""1FiGIDbWXbrw3ESuMmD14r8eot08bsJofQ75uiKf4zAA"", ""23yearsold 1차!B:F""), 5, FALSE), """")"),"")</f>
        <v/>
      </c>
      <c r="I86" s="450"/>
      <c r="J86" s="450"/>
      <c r="K86" s="450"/>
      <c r="L86" s="450"/>
      <c r="N86" s="44" t="str">
        <f ca="1">IFERROR(__xludf.DUMMYFUNCTION("IFERROR(VLOOKUP(TRIM(O86), IMPORTRANGE(""1FiGIDbWXbrw3ESuMmD14r8eot08bsJofQ75uiKf4zAA"", ""23yearsold 1차!B:C""), 2, FALSE), """")"),"")</f>
        <v/>
      </c>
      <c r="O86" s="44"/>
      <c r="P86" s="44"/>
      <c r="Q86" s="44"/>
      <c r="R86" s="44"/>
      <c r="T86" s="44"/>
      <c r="U86" s="44" t="str">
        <f ca="1">IFERROR(__xludf.DUMMYFUNCTION("IFERROR(VLOOKUP(TRIM(O86), IMPORTRANGE(""1FiGIDbWXbrw3ESuMmD14r8eot08bsJofQ75uiKf4zAA"", ""23yearsold 1차!B:D""), 3, FALSE), """")"),"")</f>
        <v/>
      </c>
    </row>
    <row r="87" spans="1:21" ht="13">
      <c r="A87" s="447" t="s">
        <v>1059</v>
      </c>
      <c r="B87" s="452" t="s">
        <v>1060</v>
      </c>
      <c r="C87" s="41"/>
      <c r="D87" s="41"/>
      <c r="E87" s="429">
        <v>46171</v>
      </c>
      <c r="G87" s="32" t="s">
        <v>910</v>
      </c>
      <c r="H87" s="441" t="s">
        <v>1061</v>
      </c>
      <c r="I87" s="57">
        <v>332</v>
      </c>
      <c r="J87" s="57">
        <v>7</v>
      </c>
      <c r="K87" s="447"/>
      <c r="L87" s="447"/>
      <c r="N87" s="44"/>
      <c r="Q87" s="44"/>
      <c r="R87" s="44"/>
      <c r="T87" s="327"/>
      <c r="U87" s="327"/>
    </row>
    <row r="88" spans="1:21" ht="13">
      <c r="A88" s="450" t="s">
        <v>1062</v>
      </c>
      <c r="B88" s="451" t="s">
        <v>1063</v>
      </c>
      <c r="C88" s="106"/>
      <c r="D88" s="106"/>
      <c r="E88" s="437"/>
      <c r="G88" s="32" t="s">
        <v>910</v>
      </c>
      <c r="H88" s="44" t="str">
        <f ca="1">IFERROR(__xludf.DUMMYFUNCTION("IFERROR(VLOOKUP(TRIM(N88), IMPORTRANGE(""1FiGIDbWXbrw3ESuMmD14r8eot08bsJofQ75uiKf4zAA"", ""23yearsold 1차!B:F""), 5, FALSE), """")"),"")</f>
        <v/>
      </c>
      <c r="I88" s="450"/>
      <c r="J88" s="450"/>
      <c r="K88" s="450"/>
      <c r="L88" s="450"/>
      <c r="N88" s="44" t="str">
        <f ca="1">IFERROR(__xludf.DUMMYFUNCTION("IFERROR(VLOOKUP(TRIM(O88), IMPORTRANGE(""1FiGIDbWXbrw3ESuMmD14r8eot08bsJofQ75uiKf4zAA"", ""23yearsold 1차!B:C""), 2, FALSE), """")"),"")</f>
        <v/>
      </c>
      <c r="O88" s="44"/>
      <c r="P88" s="44"/>
      <c r="Q88" s="44"/>
      <c r="R88" s="44"/>
      <c r="T88" s="44" t="str">
        <f ca="1">IFERROR(__xludf.DUMMYFUNCTION("IFERROR(VLOOKUP(TRIM(N88), IMPORTRANGE(""1FiGIDbWXbrw3ESuMmD14r8eot08bsJofQ75uiKf4zAA"", ""23yearsold 1차!B:D""), 3, FALSE), """")"),"")</f>
        <v/>
      </c>
      <c r="U88" s="450"/>
    </row>
    <row r="89" spans="1:21" ht="13">
      <c r="A89" s="447" t="s">
        <v>1064</v>
      </c>
      <c r="B89" s="452" t="s">
        <v>1065</v>
      </c>
      <c r="C89" s="449" t="s">
        <v>1066</v>
      </c>
      <c r="D89" s="41"/>
      <c r="E89" s="437"/>
      <c r="G89" s="32" t="s">
        <v>910</v>
      </c>
      <c r="H89" s="44" t="str">
        <f ca="1">IFERROR(__xludf.DUMMYFUNCTION("IFERROR(VLOOKUP(TRIM(N89), IMPORTRANGE(""1FiGIDbWXbrw3ESuMmD14r8eot08bsJofQ75uiKf4zAA"", ""23yearsold 1차!B:F""), 5, FALSE), """")"),"")</f>
        <v/>
      </c>
      <c r="I89" s="447"/>
      <c r="J89" s="447"/>
      <c r="K89" s="447"/>
      <c r="L89" s="447"/>
      <c r="N89" s="44" t="str">
        <f ca="1">IFERROR(__xludf.DUMMYFUNCTION("IFERROR(VLOOKUP(TRIM(O89), IMPORTRANGE(""1FiGIDbWXbrw3ESuMmD14r8eot08bsJofQ75uiKf4zAA"", ""23yearsold 1차!B:C""), 2, FALSE), """")"),"")</f>
        <v/>
      </c>
      <c r="O89" s="44"/>
      <c r="P89" s="44"/>
      <c r="Q89" s="44"/>
      <c r="R89" s="44"/>
      <c r="T89" s="44" t="str">
        <f ca="1">IFERROR(__xludf.DUMMYFUNCTION("IFERROR(VLOOKUP(TRIM(N89), IMPORTRANGE(""1FiGIDbWXbrw3ESuMmD14r8eot08bsJofQ75uiKf4zAA"", ""23yearsold 1차!B:D""), 3, FALSE), """")"),"")</f>
        <v/>
      </c>
      <c r="U89" s="447"/>
    </row>
    <row r="90" spans="1:21" ht="13">
      <c r="A90" s="450" t="s">
        <v>1067</v>
      </c>
      <c r="B90" s="451" t="s">
        <v>1068</v>
      </c>
      <c r="C90" s="106"/>
      <c r="D90" s="453" t="s">
        <v>1069</v>
      </c>
      <c r="E90" s="429">
        <v>46159</v>
      </c>
      <c r="G90" s="32" t="s">
        <v>910</v>
      </c>
      <c r="H90" s="44"/>
      <c r="I90" s="450"/>
      <c r="J90" s="450"/>
      <c r="K90" s="450"/>
      <c r="L90" s="450"/>
      <c r="N90" s="327" t="s">
        <v>1070</v>
      </c>
      <c r="O90" s="436"/>
      <c r="P90" s="435">
        <v>6</v>
      </c>
      <c r="Q90" s="44"/>
      <c r="R90" s="44"/>
      <c r="T90" s="44"/>
      <c r="U90" s="450"/>
    </row>
    <row r="91" spans="1:21" ht="13">
      <c r="A91" s="447" t="s">
        <v>1071</v>
      </c>
      <c r="B91" s="452" t="s">
        <v>1072</v>
      </c>
      <c r="C91" s="449" t="s">
        <v>1073</v>
      </c>
      <c r="D91" s="41"/>
      <c r="E91" s="429">
        <v>46157</v>
      </c>
      <c r="G91" s="32" t="s">
        <v>910</v>
      </c>
      <c r="H91" s="137" t="s">
        <v>1074</v>
      </c>
      <c r="I91" s="435" t="s">
        <v>1075</v>
      </c>
      <c r="J91" s="435" t="s">
        <v>1076</v>
      </c>
      <c r="K91" s="57">
        <v>34</v>
      </c>
      <c r="L91" s="57">
        <v>1</v>
      </c>
      <c r="N91" s="44"/>
    </row>
    <row r="92" spans="1:21" ht="13">
      <c r="A92" s="447" t="s">
        <v>1077</v>
      </c>
      <c r="B92" s="448" t="s">
        <v>1078</v>
      </c>
      <c r="C92" s="41"/>
      <c r="D92" s="41"/>
      <c r="E92" s="429">
        <v>46161</v>
      </c>
      <c r="G92" s="32" t="s">
        <v>910</v>
      </c>
      <c r="H92" s="454" t="s">
        <v>1079</v>
      </c>
      <c r="I92" s="57">
        <v>350</v>
      </c>
      <c r="J92" s="57">
        <v>22</v>
      </c>
      <c r="K92" s="44"/>
      <c r="L92" s="44"/>
      <c r="N92" s="44"/>
    </row>
    <row r="93" spans="1:21" ht="13">
      <c r="A93" s="447" t="s">
        <v>1080</v>
      </c>
      <c r="B93" s="448" t="s">
        <v>1081</v>
      </c>
      <c r="C93" s="41"/>
      <c r="D93" s="41"/>
      <c r="E93" s="429">
        <v>46080</v>
      </c>
      <c r="G93" s="32" t="s">
        <v>910</v>
      </c>
      <c r="H93" s="447"/>
      <c r="I93" s="447"/>
      <c r="J93" s="447"/>
      <c r="K93" s="447"/>
      <c r="L93" s="447"/>
      <c r="N93" s="327" t="s">
        <v>1082</v>
      </c>
      <c r="O93" s="435">
        <v>328</v>
      </c>
      <c r="P93" s="436"/>
      <c r="Q93" s="44"/>
      <c r="R93" s="44"/>
      <c r="T93" s="327" t="s">
        <v>1083</v>
      </c>
    </row>
    <row r="94" spans="1:21" ht="13">
      <c r="A94" s="450" t="s">
        <v>1084</v>
      </c>
      <c r="B94" s="451" t="s">
        <v>1085</v>
      </c>
      <c r="C94" s="106"/>
      <c r="D94" s="453" t="s">
        <v>1086</v>
      </c>
      <c r="E94" s="429">
        <v>46175</v>
      </c>
      <c r="G94" s="32" t="s">
        <v>910</v>
      </c>
      <c r="H94" s="450"/>
      <c r="I94" s="450"/>
      <c r="J94" s="450"/>
      <c r="K94" s="450"/>
      <c r="L94" s="450"/>
      <c r="N94" s="327" t="s">
        <v>1087</v>
      </c>
      <c r="O94" s="57">
        <v>313</v>
      </c>
      <c r="P94" s="57">
        <v>52</v>
      </c>
      <c r="Q94" s="57">
        <v>0</v>
      </c>
      <c r="R94" s="44"/>
      <c r="T94" s="44"/>
    </row>
    <row r="95" spans="1:21" ht="13">
      <c r="A95" s="447" t="s">
        <v>1088</v>
      </c>
      <c r="B95" s="448" t="s">
        <v>1089</v>
      </c>
      <c r="C95" s="449" t="s">
        <v>1090</v>
      </c>
      <c r="D95" s="41"/>
      <c r="E95" s="429">
        <v>46164</v>
      </c>
      <c r="G95" s="32" t="s">
        <v>910</v>
      </c>
      <c r="H95" s="327" t="s">
        <v>1091</v>
      </c>
      <c r="I95" s="57">
        <v>463</v>
      </c>
      <c r="J95" s="57">
        <v>10</v>
      </c>
      <c r="K95" s="447"/>
      <c r="L95" s="447"/>
      <c r="N95" s="44" t="str">
        <f ca="1">IFERROR(__xludf.DUMMYFUNCTION("IFERROR(VLOOKUP(TRIM(I95), IMPORTRANGE(""1FiGIDbWXbrw3ESuMmD14r8eot08bsJofQ75uiKf4zAA"", ""23yearsold 1차!B:C""), 2, FALSE), """")"),"")</f>
        <v/>
      </c>
      <c r="Q95" s="44"/>
      <c r="R95" s="44"/>
      <c r="T95" s="44" t="str">
        <f ca="1">IFERROR(__xludf.DUMMYFUNCTION("IFERROR(VLOOKUP(TRIM(N95), IMPORTRANGE(""1FiGIDbWXbrw3ESuMmD14r8eot08bsJofQ75uiKf4zAA"", ""23yearsold 1차!B:D""), 3, FALSE), """")"),"")</f>
        <v/>
      </c>
    </row>
    <row r="96" spans="1:21" ht="13">
      <c r="A96" s="450" t="s">
        <v>1092</v>
      </c>
      <c r="B96" s="451" t="s">
        <v>1093</v>
      </c>
      <c r="C96" s="106"/>
      <c r="D96" s="106"/>
      <c r="E96" s="429">
        <v>46167</v>
      </c>
      <c r="G96" s="32" t="s">
        <v>910</v>
      </c>
      <c r="H96" s="327" t="s">
        <v>1094</v>
      </c>
      <c r="I96" s="450"/>
      <c r="J96" s="450"/>
      <c r="K96" s="450"/>
      <c r="L96" s="450"/>
      <c r="N96" s="327" t="s">
        <v>1095</v>
      </c>
      <c r="O96" s="436"/>
      <c r="P96" s="435">
        <v>15</v>
      </c>
      <c r="Q96" s="44"/>
      <c r="R96" s="44"/>
      <c r="T96" s="327" t="s">
        <v>1096</v>
      </c>
      <c r="U96" s="44"/>
    </row>
    <row r="97" spans="1:22" ht="13">
      <c r="A97" s="447" t="s">
        <v>1097</v>
      </c>
      <c r="B97" s="448" t="s">
        <v>1098</v>
      </c>
      <c r="C97" s="41"/>
      <c r="D97" s="41"/>
      <c r="E97" s="429">
        <v>46164</v>
      </c>
      <c r="G97" s="32" t="s">
        <v>910</v>
      </c>
      <c r="H97" s="327" t="s">
        <v>1099</v>
      </c>
      <c r="I97" s="447"/>
      <c r="J97" s="447"/>
      <c r="K97" s="447"/>
      <c r="L97" s="447"/>
      <c r="N97" s="327" t="s">
        <v>1100</v>
      </c>
      <c r="O97" s="436"/>
      <c r="P97" s="435">
        <v>0</v>
      </c>
      <c r="Q97" s="44"/>
      <c r="R97" s="44"/>
      <c r="T97" s="327" t="s">
        <v>1101</v>
      </c>
      <c r="U97" s="44"/>
    </row>
    <row r="98" spans="1:22" ht="13">
      <c r="A98" s="450" t="s">
        <v>1102</v>
      </c>
      <c r="B98" s="451" t="s">
        <v>1103</v>
      </c>
      <c r="C98" s="453" t="s">
        <v>1104</v>
      </c>
      <c r="D98" s="106"/>
      <c r="E98" s="437"/>
      <c r="G98" s="32" t="s">
        <v>910</v>
      </c>
      <c r="H98" s="44" t="str">
        <f ca="1">IFERROR(__xludf.DUMMYFUNCTION("IFERROR(VLOOKUP(TRIM(N98), IMPORTRANGE(""1FiGIDbWXbrw3ESuMmD14r8eot08bsJofQ75uiKf4zAA"", ""23yearsold 1차!B:F""), 5, FALSE), """")"),"")</f>
        <v/>
      </c>
      <c r="I98" s="450"/>
      <c r="J98" s="450"/>
      <c r="K98" s="450"/>
      <c r="L98" s="450"/>
      <c r="N98" s="44" t="str">
        <f ca="1">IFERROR(__xludf.DUMMYFUNCTION("IFERROR(VLOOKUP(TRIM(O98), IMPORTRANGE(""1FiGIDbWXbrw3ESuMmD14r8eot08bsJofQ75uiKf4zAA"", ""23yearsold 1차!B:C""), 2, FALSE), """")"),"")</f>
        <v/>
      </c>
      <c r="O98" s="44"/>
      <c r="P98" s="44"/>
      <c r="Q98" s="44"/>
      <c r="R98" s="44"/>
      <c r="T98" s="44" t="str">
        <f ca="1">IFERROR(__xludf.DUMMYFUNCTION("IFERROR(VLOOKUP(TRIM(N98), IMPORTRANGE(""1FiGIDbWXbrw3ESuMmD14r8eot08bsJofQ75uiKf4zAA"", ""23yearsold 1차!B:D""), 3, FALSE), """")"),"")</f>
        <v/>
      </c>
      <c r="U98" s="44"/>
    </row>
    <row r="99" spans="1:22" ht="13">
      <c r="A99" s="447" t="s">
        <v>1105</v>
      </c>
      <c r="B99" s="448" t="s">
        <v>1106</v>
      </c>
      <c r="C99" s="41"/>
      <c r="D99" s="449" t="s">
        <v>1107</v>
      </c>
      <c r="E99" s="437"/>
      <c r="G99" s="32" t="s">
        <v>910</v>
      </c>
      <c r="H99" s="44" t="str">
        <f ca="1">IFERROR(__xludf.DUMMYFUNCTION("IFERROR(VLOOKUP(TRIM(N99), IMPORTRANGE(""1FiGIDbWXbrw3ESuMmD14r8eot08bsJofQ75uiKf4zAA"", ""23yearsold 1차!B:F""), 5, FALSE), """")"),"")</f>
        <v/>
      </c>
      <c r="I99" s="447"/>
      <c r="J99" s="447"/>
      <c r="K99" s="447"/>
      <c r="L99" s="447"/>
      <c r="N99" s="44" t="str">
        <f ca="1">IFERROR(__xludf.DUMMYFUNCTION("IFERROR(VLOOKUP(TRIM(O99), IMPORTRANGE(""1FiGIDbWXbrw3ESuMmD14r8eot08bsJofQ75uiKf4zAA"", ""23yearsold 1차!B:C""), 2, FALSE), """")"),"")</f>
        <v/>
      </c>
      <c r="O99" s="44"/>
      <c r="P99" s="44"/>
      <c r="Q99" s="44"/>
      <c r="R99" s="44"/>
      <c r="T99" s="44" t="str">
        <f ca="1">IFERROR(__xludf.DUMMYFUNCTION("IFERROR(VLOOKUP(TRIM(N99), IMPORTRANGE(""1FiGIDbWXbrw3ESuMmD14r8eot08bsJofQ75uiKf4zAA"", ""23yearsold 1차!B:D""), 3, FALSE), """")"),"")</f>
        <v/>
      </c>
      <c r="U99" s="44"/>
    </row>
    <row r="100" spans="1:22" ht="13">
      <c r="A100" s="447" t="s">
        <v>1108</v>
      </c>
      <c r="B100" s="452" t="s">
        <v>1109</v>
      </c>
      <c r="C100" s="449" t="s">
        <v>1110</v>
      </c>
      <c r="D100" s="449" t="s">
        <v>1111</v>
      </c>
      <c r="E100" s="437"/>
      <c r="G100" s="32" t="s">
        <v>910</v>
      </c>
      <c r="H100" s="44" t="str">
        <f ca="1">IFERROR(__xludf.DUMMYFUNCTION("IFERROR(VLOOKUP(TRIM(N100), IMPORTRANGE(""1FiGIDbWXbrw3ESuMmD14r8eot08bsJofQ75uiKf4zAA"", ""23yearsold 1차!B:F""), 5, FALSE), """")"),"")</f>
        <v/>
      </c>
      <c r="I100" s="447"/>
      <c r="J100" s="447"/>
      <c r="K100" s="447"/>
      <c r="L100" s="447"/>
      <c r="N100" s="44" t="str">
        <f ca="1">IFERROR(__xludf.DUMMYFUNCTION("IFERROR(VLOOKUP(TRIM(O100), IMPORTRANGE(""1FiGIDbWXbrw3ESuMmD14r8eot08bsJofQ75uiKf4zAA"", ""23yearsold 1차!B:C""), 2, FALSE), """")"),"")</f>
        <v/>
      </c>
      <c r="O100" s="44"/>
      <c r="P100" s="44"/>
      <c r="Q100" s="44"/>
      <c r="R100" s="44"/>
      <c r="T100" s="44" t="str">
        <f ca="1">IFERROR(__xludf.DUMMYFUNCTION("IFERROR(VLOOKUP(TRIM(N100), IMPORTRANGE(""1FiGIDbWXbrw3ESuMmD14r8eot08bsJofQ75uiKf4zAA"", ""23yearsold 1차!B:D""), 3, FALSE), """")"),"")</f>
        <v/>
      </c>
      <c r="U100" s="44"/>
    </row>
    <row r="101" spans="1:22" ht="13">
      <c r="A101" s="447" t="s">
        <v>1112</v>
      </c>
      <c r="B101" s="448" t="s">
        <v>1113</v>
      </c>
      <c r="C101" s="41"/>
      <c r="D101" s="449" t="s">
        <v>1114</v>
      </c>
      <c r="E101" s="429">
        <v>46176</v>
      </c>
      <c r="G101" s="32" t="s">
        <v>910</v>
      </c>
      <c r="H101" s="327" t="s">
        <v>1115</v>
      </c>
      <c r="I101" s="447"/>
      <c r="J101" s="447"/>
      <c r="K101" s="447"/>
      <c r="L101" s="447"/>
      <c r="N101" s="327" t="s">
        <v>1116</v>
      </c>
      <c r="O101" s="57">
        <v>369</v>
      </c>
      <c r="P101" s="57">
        <v>4</v>
      </c>
      <c r="Q101" s="57">
        <v>0</v>
      </c>
      <c r="R101" s="44"/>
      <c r="T101" s="44"/>
      <c r="U101" s="44"/>
    </row>
    <row r="102" spans="1:22" ht="13">
      <c r="A102" s="450" t="s">
        <v>1117</v>
      </c>
      <c r="B102" s="451" t="s">
        <v>1118</v>
      </c>
      <c r="C102" s="106"/>
      <c r="D102" s="106"/>
      <c r="E102" s="437"/>
      <c r="G102" s="32" t="s">
        <v>910</v>
      </c>
      <c r="H102" s="44" t="str">
        <f ca="1">IFERROR(__xludf.DUMMYFUNCTION("IFERROR(VLOOKUP(TRIM(N102), IMPORTRANGE(""1FiGIDbWXbrw3ESuMmD14r8eot08bsJofQ75uiKf4zAA"", ""23yearsold 1차!B:F""), 5, FALSE), """")"),"")</f>
        <v/>
      </c>
      <c r="I102" s="450"/>
      <c r="J102" s="450"/>
      <c r="K102" s="450"/>
      <c r="L102" s="450"/>
      <c r="N102" s="44" t="str">
        <f ca="1">IFERROR(__xludf.DUMMYFUNCTION("IFERROR(VLOOKUP(TRIM(O102), IMPORTRANGE(""1FiGIDbWXbrw3ESuMmD14r8eot08bsJofQ75uiKf4zAA"", ""23yearsold 1차!B:C""), 2, FALSE), """")"),"")</f>
        <v/>
      </c>
      <c r="O102" s="44"/>
      <c r="P102" s="44"/>
      <c r="Q102" s="44"/>
      <c r="R102" s="44"/>
      <c r="T102" s="44" t="str">
        <f ca="1">IFERROR(__xludf.DUMMYFUNCTION("IFERROR(VLOOKUP(TRIM(N102), IMPORTRANGE(""1FiGIDbWXbrw3ESuMmD14r8eot08bsJofQ75uiKf4zAA"", ""23yearsold 1차!B:D""), 3, FALSE), """")"),"")</f>
        <v/>
      </c>
      <c r="U102" s="44"/>
    </row>
    <row r="103" spans="1:22" ht="13">
      <c r="A103" s="447" t="s">
        <v>1119</v>
      </c>
      <c r="B103" s="448" t="s">
        <v>1120</v>
      </c>
      <c r="C103" s="41"/>
      <c r="D103" s="449" t="s">
        <v>1121</v>
      </c>
      <c r="E103" s="429">
        <v>46178</v>
      </c>
      <c r="G103" s="32" t="s">
        <v>910</v>
      </c>
      <c r="H103" s="327" t="s">
        <v>1122</v>
      </c>
      <c r="I103" s="447"/>
      <c r="J103" s="447"/>
      <c r="K103" s="447"/>
      <c r="L103" s="447"/>
      <c r="N103" s="327" t="s">
        <v>1123</v>
      </c>
      <c r="O103" s="57">
        <v>185</v>
      </c>
      <c r="P103" s="57">
        <v>5</v>
      </c>
      <c r="Q103" s="44"/>
      <c r="R103" s="44"/>
      <c r="T103" s="327" t="s">
        <v>1124</v>
      </c>
    </row>
    <row r="104" spans="1:22" ht="13">
      <c r="A104" s="450" t="s">
        <v>1125</v>
      </c>
      <c r="B104" s="451" t="s">
        <v>1126</v>
      </c>
      <c r="C104" s="106"/>
      <c r="D104" s="453" t="s">
        <v>1127</v>
      </c>
      <c r="E104" s="429">
        <v>46169</v>
      </c>
      <c r="G104" s="32" t="s">
        <v>910</v>
      </c>
      <c r="H104" s="327" t="s">
        <v>1128</v>
      </c>
      <c r="I104" s="450"/>
      <c r="J104" s="450"/>
      <c r="K104" s="450"/>
      <c r="L104" s="450"/>
      <c r="N104" s="327" t="s">
        <v>1129</v>
      </c>
      <c r="O104" s="57">
        <v>17</v>
      </c>
      <c r="P104" s="57">
        <v>4</v>
      </c>
      <c r="Q104" s="57">
        <v>1</v>
      </c>
      <c r="R104" s="44"/>
      <c r="T104" s="44"/>
      <c r="U104" s="44"/>
    </row>
    <row r="105" spans="1:22" ht="13">
      <c r="A105" s="447" t="s">
        <v>1130</v>
      </c>
      <c r="B105" s="448" t="s">
        <v>1131</v>
      </c>
      <c r="C105" s="41"/>
      <c r="D105" s="449" t="s">
        <v>1132</v>
      </c>
      <c r="E105" s="437"/>
      <c r="G105" s="32" t="s">
        <v>910</v>
      </c>
      <c r="H105" s="447"/>
      <c r="I105" s="447"/>
      <c r="J105" s="447"/>
      <c r="K105" s="447"/>
      <c r="L105" s="447"/>
      <c r="N105" s="44" t="str">
        <f ca="1">IFERROR(__xludf.DUMMYFUNCTION("IFERROR(VLOOKUP(TRIM(O105), IMPORTRANGE(""1FiGIDbWXbrw3ESuMmD14r8eot08bsJofQ75uiKf4zAA"", ""23yearsold 1차!B:C""), 2, FALSE), """")"),"")</f>
        <v/>
      </c>
      <c r="O105" s="44"/>
      <c r="P105" s="44"/>
      <c r="Q105" s="44"/>
      <c r="R105" s="44"/>
      <c r="T105" s="44" t="str">
        <f ca="1">IFERROR(__xludf.DUMMYFUNCTION("IFERROR(VLOOKUP(TRIM(N105), IMPORTRANGE(""1FiGIDbWXbrw3ESuMmD14r8eot08bsJofQ75uiKf4zAA"", ""23yearsold 1차!B:D""), 3, FALSE), """")"),"")</f>
        <v/>
      </c>
      <c r="U105" s="44"/>
      <c r="V105" s="44" t="str">
        <f ca="1">IFERROR(__xludf.DUMMYFUNCTION("IFERROR(VLOOKUP(TRIM(N105), IMPORTRANGE(""1FiGIDbWXbrw3ESuMmD14r8eot08bsJofQ75uiKf4zAA"", ""23yearsold 1차!B:F""), 5, FALSE), """")"),"")</f>
        <v/>
      </c>
    </row>
    <row r="106" spans="1:22" ht="13">
      <c r="A106" s="450" t="s">
        <v>1133</v>
      </c>
      <c r="B106" s="455" t="s">
        <v>1134</v>
      </c>
      <c r="C106" s="453" t="s">
        <v>1135</v>
      </c>
      <c r="D106" s="106"/>
      <c r="E106" s="437"/>
      <c r="G106" s="32" t="s">
        <v>910</v>
      </c>
      <c r="H106" s="450"/>
      <c r="I106" s="450"/>
      <c r="J106" s="450"/>
      <c r="K106" s="450"/>
      <c r="L106" s="450"/>
      <c r="N106" s="44" t="str">
        <f ca="1">IFERROR(__xludf.DUMMYFUNCTION("IFERROR(VLOOKUP(TRIM(O106), IMPORTRANGE(""1FiGIDbWXbrw3ESuMmD14r8eot08bsJofQ75uiKf4zAA"", ""23yearsold 1차!B:C""), 2, FALSE), """")"),"")</f>
        <v/>
      </c>
      <c r="O106" s="44"/>
      <c r="P106" s="44"/>
      <c r="Q106" s="44"/>
      <c r="R106" s="44"/>
      <c r="T106" s="44" t="str">
        <f ca="1">IFERROR(__xludf.DUMMYFUNCTION("IFERROR(VLOOKUP(TRIM(N106), IMPORTRANGE(""1FiGIDbWXbrw3ESuMmD14r8eot08bsJofQ75uiKf4zAA"", ""23yearsold 1차!B:D""), 3, FALSE), """")"),"")</f>
        <v/>
      </c>
      <c r="U106" s="44"/>
      <c r="V106" s="44" t="str">
        <f ca="1">IFERROR(__xludf.DUMMYFUNCTION("IFERROR(VLOOKUP(TRIM(N106), IMPORTRANGE(""1FiGIDbWXbrw3ESuMmD14r8eot08bsJofQ75uiKf4zAA"", ""23yearsold 1차!B:F""), 5, FALSE), """")"),"")</f>
        <v/>
      </c>
    </row>
    <row r="107" spans="1:22" ht="13">
      <c r="A107" s="447" t="s">
        <v>1136</v>
      </c>
      <c r="B107" s="452" t="s">
        <v>1137</v>
      </c>
      <c r="C107" s="41"/>
      <c r="D107" s="449" t="s">
        <v>1138</v>
      </c>
      <c r="E107" s="429">
        <v>46164</v>
      </c>
      <c r="G107" s="32" t="s">
        <v>910</v>
      </c>
      <c r="H107" s="447"/>
      <c r="I107" s="447"/>
      <c r="J107" s="447"/>
      <c r="K107" s="447"/>
      <c r="L107" s="447"/>
      <c r="N107" s="327" t="s">
        <v>1139</v>
      </c>
      <c r="O107" s="57">
        <v>456</v>
      </c>
      <c r="P107" s="57">
        <v>8</v>
      </c>
      <c r="Q107" s="44"/>
      <c r="R107" s="44"/>
      <c r="T107" s="44" t="str">
        <f ca="1">IFERROR(__xludf.DUMMYFUNCTION("IFERROR(VLOOKUP(TRIM(#REF!), IMPORTRANGE(""1FiGIDbWXbrw3ESuMmD14r8eot08bsJofQ75uiKf4zAA"", ""23yearsold 1차!B:D""), 3, FALSE), """")"),"")</f>
        <v/>
      </c>
      <c r="V107" s="44" t="str">
        <f ca="1">IFERROR(__xludf.DUMMYFUNCTION("IFERROR(VLOOKUP(TRIM(#REF!), IMPORTRANGE(""1FiGIDbWXbrw3ESuMmD14r8eot08bsJofQ75uiKf4zAA"", ""23yearsold 1차!B:F""), 5, FALSE), """")"),"")</f>
        <v/>
      </c>
    </row>
    <row r="108" spans="1:22" ht="13">
      <c r="A108" s="450" t="s">
        <v>1140</v>
      </c>
      <c r="B108" s="455" t="s">
        <v>1141</v>
      </c>
      <c r="C108" s="453" t="s">
        <v>1142</v>
      </c>
      <c r="D108" s="106"/>
      <c r="E108" s="437"/>
      <c r="G108" s="32" t="s">
        <v>910</v>
      </c>
      <c r="H108" s="450"/>
      <c r="I108" s="450"/>
      <c r="J108" s="450"/>
      <c r="K108" s="450"/>
      <c r="L108" s="450"/>
      <c r="N108" s="44" t="str">
        <f ca="1">IFERROR(__xludf.DUMMYFUNCTION("IFERROR(VLOOKUP(TRIM(O108), IMPORTRANGE(""1FiGIDbWXbrw3ESuMmD14r8eot08bsJofQ75uiKf4zAA"", ""23yearsold 1차!B:C""), 2, FALSE), """")"),"")</f>
        <v/>
      </c>
      <c r="O108" s="44"/>
      <c r="P108" s="44"/>
      <c r="Q108" s="44"/>
      <c r="R108" s="44"/>
      <c r="T108" s="44" t="str">
        <f ca="1">IFERROR(__xludf.DUMMYFUNCTION("IFERROR(VLOOKUP(TRIM(N108), IMPORTRANGE(""1FiGIDbWXbrw3ESuMmD14r8eot08bsJofQ75uiKf4zAA"", ""23yearsold 1차!B:D""), 3, FALSE), """")"),"")</f>
        <v/>
      </c>
      <c r="U108" s="44"/>
      <c r="V108" s="44" t="str">
        <f ca="1">IFERROR(__xludf.DUMMYFUNCTION("IFERROR(VLOOKUP(TRIM(N108), IMPORTRANGE(""1FiGIDbWXbrw3ESuMmD14r8eot08bsJofQ75uiKf4zAA"", ""23yearsold 1차!B:F""), 5, FALSE), """")"),"")</f>
        <v/>
      </c>
    </row>
    <row r="109" spans="1:22" ht="13">
      <c r="A109" s="447" t="s">
        <v>1143</v>
      </c>
      <c r="B109" s="448" t="s">
        <v>1144</v>
      </c>
      <c r="C109" s="41"/>
      <c r="D109" s="449" t="s">
        <v>1145</v>
      </c>
      <c r="E109" s="429">
        <v>46167</v>
      </c>
      <c r="G109" s="32" t="s">
        <v>910</v>
      </c>
      <c r="H109" s="447"/>
      <c r="I109" s="447"/>
      <c r="J109" s="447"/>
      <c r="K109" s="447"/>
      <c r="L109" s="447"/>
      <c r="N109" s="327" t="s">
        <v>1146</v>
      </c>
      <c r="O109" s="435">
        <v>149</v>
      </c>
      <c r="P109" s="435">
        <v>3</v>
      </c>
      <c r="Q109" s="44"/>
      <c r="R109" s="44"/>
      <c r="T109" s="44"/>
      <c r="U109" s="44"/>
      <c r="V109" s="44"/>
    </row>
    <row r="110" spans="1:22" ht="13">
      <c r="A110" s="450" t="s">
        <v>1147</v>
      </c>
      <c r="B110" s="451">
        <v>8074130203</v>
      </c>
      <c r="C110" s="106"/>
      <c r="D110" s="453" t="s">
        <v>1148</v>
      </c>
      <c r="E110" s="437"/>
      <c r="G110" s="32" t="s">
        <v>910</v>
      </c>
      <c r="H110" s="450"/>
      <c r="I110" s="450"/>
      <c r="J110" s="450"/>
      <c r="K110" s="450"/>
      <c r="L110" s="450"/>
      <c r="N110" s="44" t="str">
        <f ca="1">IFERROR(__xludf.DUMMYFUNCTION("IFERROR(VLOOKUP(TRIM(O110), IMPORTRANGE(""1FiGIDbWXbrw3ESuMmD14r8eot08bsJofQ75uiKf4zAA"", ""23yearsold 1차!B:C""), 2, FALSE), """")"),"")</f>
        <v/>
      </c>
      <c r="O110" s="44"/>
      <c r="P110" s="44"/>
      <c r="Q110" s="44"/>
      <c r="R110" s="44"/>
      <c r="T110" s="44" t="str">
        <f ca="1">IFERROR(__xludf.DUMMYFUNCTION("IFERROR(VLOOKUP(TRIM(N110), IMPORTRANGE(""1FiGIDbWXbrw3ESuMmD14r8eot08bsJofQ75uiKf4zAA"", ""23yearsold 1차!B:D""), 3, FALSE), """")"),"")</f>
        <v/>
      </c>
      <c r="U110" s="44"/>
      <c r="V110" s="44" t="str">
        <f ca="1">IFERROR(__xludf.DUMMYFUNCTION("IFERROR(VLOOKUP(TRIM(N110), IMPORTRANGE(""1FiGIDbWXbrw3ESuMmD14r8eot08bsJofQ75uiKf4zAA"", ""23yearsold 1차!B:F""), 5, FALSE), """")"),"")</f>
        <v/>
      </c>
    </row>
    <row r="111" spans="1:22" ht="13">
      <c r="A111" s="447" t="s">
        <v>1149</v>
      </c>
      <c r="B111" s="448" t="s">
        <v>1150</v>
      </c>
      <c r="C111" s="41"/>
      <c r="D111" s="449" t="s">
        <v>1151</v>
      </c>
      <c r="E111" s="437"/>
      <c r="G111" s="32" t="s">
        <v>910</v>
      </c>
      <c r="H111" s="447"/>
      <c r="I111" s="447"/>
      <c r="J111" s="447"/>
      <c r="K111" s="447"/>
      <c r="L111" s="447"/>
      <c r="N111" s="44" t="str">
        <f ca="1">IFERROR(__xludf.DUMMYFUNCTION("IFERROR(VLOOKUP(TRIM(O111), IMPORTRANGE(""1FiGIDbWXbrw3ESuMmD14r8eot08bsJofQ75uiKf4zAA"", ""23yearsold 1차!B:C""), 2, FALSE), """")"),"")</f>
        <v/>
      </c>
      <c r="O111" s="44"/>
      <c r="P111" s="44"/>
      <c r="Q111" s="44"/>
      <c r="R111" s="44"/>
      <c r="T111" s="44" t="str">
        <f ca="1">IFERROR(__xludf.DUMMYFUNCTION("IFERROR(VLOOKUP(TRIM(N111), IMPORTRANGE(""1FiGIDbWXbrw3ESuMmD14r8eot08bsJofQ75uiKf4zAA"", ""23yearsold 1차!B:D""), 3, FALSE), """")"),"")</f>
        <v/>
      </c>
      <c r="U111" s="44"/>
      <c r="V111" s="44" t="str">
        <f ca="1">IFERROR(__xludf.DUMMYFUNCTION("IFERROR(VLOOKUP(TRIM(N111), IMPORTRANGE(""1FiGIDbWXbrw3ESuMmD14r8eot08bsJofQ75uiKf4zAA"", ""23yearsold 1차!B:F""), 5, FALSE), """")"),"")</f>
        <v/>
      </c>
    </row>
    <row r="112" spans="1:22" ht="13">
      <c r="A112" s="450" t="s">
        <v>1152</v>
      </c>
      <c r="B112" s="451">
        <v>819097105664</v>
      </c>
      <c r="C112" s="106"/>
      <c r="D112" s="453" t="s">
        <v>1153</v>
      </c>
      <c r="E112" s="429">
        <v>46170</v>
      </c>
      <c r="G112" s="32" t="s">
        <v>910</v>
      </c>
      <c r="H112" s="60" t="s">
        <v>1154</v>
      </c>
      <c r="I112" s="450"/>
      <c r="J112" s="450"/>
      <c r="K112" s="450"/>
      <c r="L112" s="450"/>
      <c r="N112" s="44"/>
      <c r="O112" s="44"/>
      <c r="P112" s="57">
        <v>4</v>
      </c>
      <c r="Q112" s="44"/>
      <c r="R112" s="44"/>
      <c r="T112" s="44"/>
      <c r="U112" s="44"/>
    </row>
    <row r="113" spans="1:22" ht="13">
      <c r="A113" s="447" t="s">
        <v>1155</v>
      </c>
      <c r="B113" s="448">
        <v>819047939511</v>
      </c>
      <c r="C113" s="41"/>
      <c r="D113" s="449" t="s">
        <v>1156</v>
      </c>
      <c r="E113" s="429">
        <v>46167</v>
      </c>
      <c r="G113" s="32" t="s">
        <v>910</v>
      </c>
      <c r="H113" s="44" t="str">
        <f ca="1">IFERROR(__xludf.DUMMYFUNCTION("IFERROR(VLOOKUP(TRIM(N113), IMPORTRANGE(""1FiGIDbWXbrw3ESuMmD14r8eot08bsJofQ75uiKf4zAA"", ""23yearsold 1차!B:F""), 5, FALSE), """")"),"")</f>
        <v/>
      </c>
      <c r="I113" s="447"/>
      <c r="J113" s="447"/>
      <c r="K113" s="447"/>
      <c r="L113" s="447"/>
      <c r="N113" s="327" t="s">
        <v>1157</v>
      </c>
      <c r="O113" s="57">
        <v>1710</v>
      </c>
      <c r="P113" s="57">
        <v>10</v>
      </c>
      <c r="Q113" s="44"/>
      <c r="R113" s="44"/>
      <c r="T113" s="44"/>
      <c r="U113" s="44"/>
    </row>
    <row r="114" spans="1:22" ht="13">
      <c r="A114" s="450" t="s">
        <v>1158</v>
      </c>
      <c r="B114" s="451" t="s">
        <v>1159</v>
      </c>
      <c r="C114" s="106"/>
      <c r="D114" s="453" t="s">
        <v>1160</v>
      </c>
      <c r="E114" s="429">
        <v>46169</v>
      </c>
      <c r="G114" s="32" t="s">
        <v>910</v>
      </c>
      <c r="H114" s="327" t="s">
        <v>1161</v>
      </c>
      <c r="I114" s="450"/>
      <c r="J114" s="450"/>
      <c r="K114" s="450"/>
      <c r="L114" s="450"/>
      <c r="N114" s="327" t="s">
        <v>1162</v>
      </c>
      <c r="O114" s="44"/>
      <c r="P114" s="57">
        <v>6</v>
      </c>
      <c r="Q114" s="44"/>
      <c r="R114" s="44"/>
      <c r="T114" s="44"/>
      <c r="U114" s="44"/>
    </row>
    <row r="115" spans="1:22" ht="13">
      <c r="A115" s="447" t="s">
        <v>1163</v>
      </c>
      <c r="B115" s="448" t="s">
        <v>1164</v>
      </c>
      <c r="C115" s="41"/>
      <c r="D115" s="449" t="s">
        <v>1165</v>
      </c>
      <c r="E115" s="429">
        <v>46166</v>
      </c>
      <c r="G115" s="32" t="s">
        <v>910</v>
      </c>
      <c r="H115" s="44" t="str">
        <f ca="1">IFERROR(__xludf.DUMMYFUNCTION("IFERROR(VLOOKUP(TRIM(N115), IMPORTRANGE(""1FiGIDbWXbrw3ESuMmD14r8eot08bsJofQ75uiKf4zAA"", ""23yearsold 1차!B:F""), 5, FALSE), """")"),"")</f>
        <v/>
      </c>
      <c r="I115" s="447"/>
      <c r="J115" s="447"/>
      <c r="K115" s="447"/>
      <c r="L115" s="447"/>
      <c r="N115" s="327" t="s">
        <v>1166</v>
      </c>
      <c r="O115" s="44"/>
      <c r="P115" s="57">
        <v>16</v>
      </c>
      <c r="Q115" s="44"/>
      <c r="R115" s="44"/>
      <c r="T115" s="44" t="str">
        <f ca="1">IFERROR(__xludf.DUMMYFUNCTION("IFERROR(VLOOKUP(TRIM(N115), IMPORTRANGE(""1FiGIDbWXbrw3ESuMmD14r8eot08bsJofQ75uiKf4zAA"", ""23yearsold 1차!B:D""), 3, FALSE), """")"),"")</f>
        <v/>
      </c>
      <c r="U115" s="44"/>
    </row>
    <row r="116" spans="1:22" ht="13">
      <c r="A116" s="450" t="s">
        <v>1167</v>
      </c>
      <c r="B116" s="455" t="s">
        <v>1168</v>
      </c>
      <c r="C116" s="106"/>
      <c r="D116" s="453" t="s">
        <v>1169</v>
      </c>
      <c r="E116" s="437"/>
      <c r="G116" s="32" t="s">
        <v>910</v>
      </c>
      <c r="H116" s="44" t="str">
        <f ca="1">IFERROR(__xludf.DUMMYFUNCTION("IFERROR(VLOOKUP(TRIM(N116), IMPORTRANGE(""1FiGIDbWXbrw3ESuMmD14r8eot08bsJofQ75uiKf4zAA"", ""23yearsold 1차!B:F""), 5, FALSE), """")"),"")</f>
        <v/>
      </c>
      <c r="I116" s="450"/>
      <c r="J116" s="450"/>
      <c r="K116" s="450"/>
      <c r="L116" s="450"/>
      <c r="N116" s="44"/>
      <c r="O116" s="44"/>
      <c r="P116" s="44"/>
      <c r="Q116" s="44"/>
      <c r="R116" s="44"/>
      <c r="T116" s="44" t="str">
        <f ca="1">IFERROR(__xludf.DUMMYFUNCTION("IFERROR(VLOOKUP(TRIM(N116), IMPORTRANGE(""1FiGIDbWXbrw3ESuMmD14r8eot08bsJofQ75uiKf4zAA"", ""23yearsold 1차!B:D""), 3, FALSE), """")"),"")</f>
        <v/>
      </c>
      <c r="U116" s="44"/>
    </row>
    <row r="117" spans="1:22" ht="13">
      <c r="A117" s="447" t="s">
        <v>1170</v>
      </c>
      <c r="B117" s="448" t="s">
        <v>1171</v>
      </c>
      <c r="C117" s="41"/>
      <c r="D117" s="449" t="s">
        <v>1172</v>
      </c>
      <c r="E117" s="437"/>
      <c r="G117" s="32" t="s">
        <v>910</v>
      </c>
      <c r="H117" s="44" t="str">
        <f ca="1">IFERROR(__xludf.DUMMYFUNCTION("IFERROR(VLOOKUP(TRIM(N117), IMPORTRANGE(""1FiGIDbWXbrw3ESuMmD14r8eot08bsJofQ75uiKf4zAA"", ""23yearsold 1차!B:F""), 5, FALSE), """")"),"")</f>
        <v/>
      </c>
      <c r="I117" s="447"/>
      <c r="J117" s="447"/>
      <c r="K117" s="447"/>
      <c r="L117" s="447"/>
      <c r="N117" s="44" t="str">
        <f ca="1">IFERROR(__xludf.DUMMYFUNCTION("IFERROR(VLOOKUP(TRIM(O117), IMPORTRANGE(""1FiGIDbWXbrw3ESuMmD14r8eot08bsJofQ75uiKf4zAA"", ""23yearsold 1차!B:C""), 2, FALSE), """")"),"")</f>
        <v/>
      </c>
      <c r="O117" s="44"/>
      <c r="P117" s="44"/>
      <c r="Q117" s="44"/>
      <c r="R117" s="44"/>
      <c r="T117" s="44" t="str">
        <f ca="1">IFERROR(__xludf.DUMMYFUNCTION("IFERROR(VLOOKUP(TRIM(N117), IMPORTRANGE(""1FiGIDbWXbrw3ESuMmD14r8eot08bsJofQ75uiKf4zAA"", ""23yearsold 1차!B:D""), 3, FALSE), """")"),"")</f>
        <v/>
      </c>
      <c r="U117" s="44"/>
    </row>
    <row r="118" spans="1:22" ht="13">
      <c r="A118" s="450" t="s">
        <v>1173</v>
      </c>
      <c r="B118" s="451" t="s">
        <v>1174</v>
      </c>
      <c r="C118" s="106"/>
      <c r="D118" s="453" t="s">
        <v>1175</v>
      </c>
      <c r="E118" s="437"/>
      <c r="G118" s="32" t="s">
        <v>910</v>
      </c>
      <c r="H118" s="44" t="str">
        <f ca="1">IFERROR(__xludf.DUMMYFUNCTION("IFERROR(VLOOKUP(TRIM(N118), IMPORTRANGE(""1FiGIDbWXbrw3ESuMmD14r8eot08bsJofQ75uiKf4zAA"", ""23yearsold 1차!B:F""), 5, FALSE), """")"),"")</f>
        <v/>
      </c>
      <c r="I118" s="450"/>
      <c r="J118" s="450"/>
      <c r="K118" s="450"/>
      <c r="L118" s="450"/>
      <c r="N118" s="44" t="str">
        <f ca="1">IFERROR(__xludf.DUMMYFUNCTION("IFERROR(VLOOKUP(TRIM(O118), IMPORTRANGE(""1FiGIDbWXbrw3ESuMmD14r8eot08bsJofQ75uiKf4zAA"", ""23yearsold 1차!B:C""), 2, FALSE), """")"),"")</f>
        <v/>
      </c>
      <c r="O118" s="44"/>
      <c r="P118" s="44"/>
      <c r="Q118" s="44"/>
      <c r="R118" s="44"/>
      <c r="T118" s="44" t="str">
        <f ca="1">IFERROR(__xludf.DUMMYFUNCTION("IFERROR(VLOOKUP(TRIM(N118), IMPORTRANGE(""1FiGIDbWXbrw3ESuMmD14r8eot08bsJofQ75uiKf4zAA"", ""23yearsold 1차!B:D""), 3, FALSE), """")"),"")</f>
        <v/>
      </c>
      <c r="U118" s="44"/>
    </row>
    <row r="119" spans="1:22" ht="13">
      <c r="A119" s="447" t="s">
        <v>1176</v>
      </c>
      <c r="B119" s="448" t="s">
        <v>1177</v>
      </c>
      <c r="C119" s="41"/>
      <c r="D119" s="449" t="s">
        <v>1178</v>
      </c>
      <c r="E119" s="437"/>
      <c r="G119" s="32" t="s">
        <v>910</v>
      </c>
      <c r="H119" s="44" t="str">
        <f ca="1">IFERROR(__xludf.DUMMYFUNCTION("IFERROR(VLOOKUP(TRIM(N119), IMPORTRANGE(""1FiGIDbWXbrw3ESuMmD14r8eot08bsJofQ75uiKf4zAA"", ""23yearsold 1차!B:F""), 5, FALSE), """")"),"")</f>
        <v/>
      </c>
      <c r="I119" s="447"/>
      <c r="J119" s="447"/>
      <c r="K119" s="447"/>
      <c r="L119" s="447"/>
      <c r="N119" s="44" t="str">
        <f ca="1">IFERROR(__xludf.DUMMYFUNCTION("IFERROR(VLOOKUP(TRIM(O119), IMPORTRANGE(""1FiGIDbWXbrw3ESuMmD14r8eot08bsJofQ75uiKf4zAA"", ""23yearsold 1차!B:C""), 2, FALSE), """")"),"")</f>
        <v/>
      </c>
      <c r="O119" s="44"/>
      <c r="P119" s="44"/>
      <c r="Q119" s="44"/>
      <c r="R119" s="44"/>
      <c r="T119" s="44" t="str">
        <f ca="1">IFERROR(__xludf.DUMMYFUNCTION("IFERROR(VLOOKUP(TRIM(N119), IMPORTRANGE(""1FiGIDbWXbrw3ESuMmD14r8eot08bsJofQ75uiKf4zAA"", ""23yearsold 1차!B:D""), 3, FALSE), """")"),"")</f>
        <v/>
      </c>
      <c r="U119" s="44"/>
    </row>
    <row r="120" spans="1:22" ht="13">
      <c r="A120" s="450" t="s">
        <v>1179</v>
      </c>
      <c r="B120" s="451" t="s">
        <v>1180</v>
      </c>
      <c r="C120" s="106"/>
      <c r="D120" s="453" t="s">
        <v>1181</v>
      </c>
      <c r="E120" s="437"/>
      <c r="G120" s="32" t="s">
        <v>910</v>
      </c>
      <c r="H120" s="44" t="str">
        <f ca="1">IFERROR(__xludf.DUMMYFUNCTION("IFERROR(VLOOKUP(TRIM(N120), IMPORTRANGE(""1FiGIDbWXbrw3ESuMmD14r8eot08bsJofQ75uiKf4zAA"", ""23yearsold 1차!B:F""), 5, FALSE), """")"),"")</f>
        <v/>
      </c>
      <c r="I120" s="450"/>
      <c r="J120" s="450"/>
      <c r="K120" s="450"/>
      <c r="L120" s="450"/>
      <c r="N120" s="44" t="str">
        <f ca="1">IFERROR(__xludf.DUMMYFUNCTION("IFERROR(VLOOKUP(TRIM(O120), IMPORTRANGE(""1FiGIDbWXbrw3ESuMmD14r8eot08bsJofQ75uiKf4zAA"", ""23yearsold 1차!B:C""), 2, FALSE), """")"),"")</f>
        <v/>
      </c>
      <c r="O120" s="44"/>
      <c r="P120" s="44"/>
      <c r="Q120" s="44"/>
      <c r="R120" s="44"/>
      <c r="T120" s="44" t="str">
        <f ca="1">IFERROR(__xludf.DUMMYFUNCTION("IFERROR(VLOOKUP(TRIM(N120), IMPORTRANGE(""1FiGIDbWXbrw3ESuMmD14r8eot08bsJofQ75uiKf4zAA"", ""23yearsold 1차!B:D""), 3, FALSE), """")"),"")</f>
        <v/>
      </c>
      <c r="U120" s="44"/>
    </row>
    <row r="121" spans="1:22" ht="13">
      <c r="A121" s="447" t="s">
        <v>1182</v>
      </c>
      <c r="B121" s="448" t="s">
        <v>1183</v>
      </c>
      <c r="C121" s="41"/>
      <c r="D121" s="449" t="s">
        <v>1184</v>
      </c>
      <c r="E121" s="429">
        <v>46165</v>
      </c>
      <c r="G121" s="32" t="s">
        <v>910</v>
      </c>
      <c r="H121" s="327" t="s">
        <v>1185</v>
      </c>
      <c r="I121" s="447"/>
      <c r="J121" s="447"/>
      <c r="K121" s="447"/>
      <c r="L121" s="447"/>
      <c r="N121" s="327" t="s">
        <v>1186</v>
      </c>
      <c r="O121" s="44"/>
      <c r="P121" s="57">
        <v>43</v>
      </c>
      <c r="Q121" s="57">
        <v>0</v>
      </c>
      <c r="R121" s="44"/>
      <c r="T121" s="44"/>
      <c r="U121" s="44"/>
    </row>
    <row r="122" spans="1:22" ht="13">
      <c r="A122" s="450" t="s">
        <v>1187</v>
      </c>
      <c r="B122" s="451" t="s">
        <v>1188</v>
      </c>
      <c r="C122" s="106"/>
      <c r="D122" s="453" t="s">
        <v>1189</v>
      </c>
      <c r="E122" s="429">
        <v>46162</v>
      </c>
      <c r="G122" s="32" t="s">
        <v>910</v>
      </c>
      <c r="H122" s="327" t="s">
        <v>1190</v>
      </c>
      <c r="I122" s="450"/>
      <c r="J122" s="450"/>
      <c r="K122" s="450"/>
      <c r="L122" s="450"/>
      <c r="N122" s="327" t="s">
        <v>1191</v>
      </c>
      <c r="O122" s="44"/>
      <c r="P122" s="57">
        <v>60</v>
      </c>
      <c r="Q122" s="57">
        <v>0</v>
      </c>
      <c r="R122" s="44"/>
      <c r="T122" s="44"/>
      <c r="U122" s="44"/>
    </row>
    <row r="123" spans="1:22" ht="13">
      <c r="A123" s="447" t="s">
        <v>1192</v>
      </c>
      <c r="B123" s="448" t="s">
        <v>1193</v>
      </c>
      <c r="C123" s="41"/>
      <c r="D123" s="449" t="s">
        <v>1194</v>
      </c>
      <c r="E123" s="429">
        <v>46166</v>
      </c>
      <c r="G123" s="32" t="s">
        <v>910</v>
      </c>
      <c r="H123" s="327" t="s">
        <v>1195</v>
      </c>
      <c r="I123" s="447"/>
      <c r="J123" s="447"/>
      <c r="K123" s="447"/>
      <c r="L123" s="447"/>
      <c r="N123" s="327" t="s">
        <v>1196</v>
      </c>
      <c r="O123" s="435">
        <v>396</v>
      </c>
      <c r="P123" s="436"/>
      <c r="Q123" s="44"/>
      <c r="R123" s="44"/>
      <c r="T123" s="44"/>
      <c r="U123" s="44"/>
    </row>
    <row r="124" spans="1:22" ht="13">
      <c r="A124" s="450" t="s">
        <v>1197</v>
      </c>
      <c r="B124" s="451" t="s">
        <v>1198</v>
      </c>
      <c r="C124" s="453" t="s">
        <v>1199</v>
      </c>
      <c r="D124" s="106"/>
      <c r="E124" s="437"/>
      <c r="G124" s="32" t="s">
        <v>910</v>
      </c>
      <c r="H124" s="450"/>
      <c r="I124" s="450"/>
      <c r="J124" s="450"/>
      <c r="K124" s="450"/>
      <c r="L124" s="450"/>
      <c r="N124" s="44" t="str">
        <f ca="1">IFERROR(__xludf.DUMMYFUNCTION("IFERROR(VLOOKUP(TRIM(O124), IMPORTRANGE(""1FiGIDbWXbrw3ESuMmD14r8eot08bsJofQ75uiKf4zAA"", ""23yearsold 1차!B:C""), 2, FALSE), """")"),"")</f>
        <v/>
      </c>
      <c r="O124" s="44"/>
      <c r="P124" s="44"/>
      <c r="Q124" s="44"/>
      <c r="R124" s="44"/>
      <c r="T124" s="44" t="str">
        <f ca="1">IFERROR(__xludf.DUMMYFUNCTION("IFERROR(VLOOKUP(TRIM(N124), IMPORTRANGE(""1FiGIDbWXbrw3ESuMmD14r8eot08bsJofQ75uiKf4zAA"", ""23yearsold 1차!B:D""), 3, FALSE), """")"),"")</f>
        <v/>
      </c>
      <c r="U124" s="44"/>
      <c r="V124" s="44" t="str">
        <f ca="1">IFERROR(__xludf.DUMMYFUNCTION("IFERROR(VLOOKUP(TRIM(N124), IMPORTRANGE(""1FiGIDbWXbrw3ESuMmD14r8eot08bsJofQ75uiKf4zAA"", ""23yearsold 1차!B:F""), 5, FALSE), """")"),"")</f>
        <v/>
      </c>
    </row>
    <row r="125" spans="1:22" ht="13">
      <c r="A125" s="447" t="s">
        <v>1200</v>
      </c>
      <c r="B125" s="448" t="s">
        <v>1201</v>
      </c>
      <c r="C125" s="41"/>
      <c r="D125" s="449" t="s">
        <v>1202</v>
      </c>
      <c r="E125" s="429">
        <v>46170</v>
      </c>
      <c r="G125" s="32" t="s">
        <v>910</v>
      </c>
      <c r="H125" s="447"/>
      <c r="I125" s="447"/>
      <c r="J125" s="447"/>
      <c r="K125" s="447"/>
      <c r="L125" s="447"/>
      <c r="N125" s="327" t="s">
        <v>1203</v>
      </c>
      <c r="O125" s="57">
        <v>191</v>
      </c>
      <c r="P125" s="57">
        <v>205</v>
      </c>
      <c r="Q125" s="57">
        <v>0</v>
      </c>
      <c r="R125" s="44"/>
      <c r="T125" s="44"/>
      <c r="U125" s="44"/>
      <c r="V125" s="44"/>
    </row>
    <row r="126" spans="1:22" ht="13">
      <c r="A126" s="450" t="s">
        <v>1204</v>
      </c>
      <c r="B126" s="455" t="s">
        <v>1205</v>
      </c>
      <c r="C126" s="106"/>
      <c r="D126" s="453" t="s">
        <v>1206</v>
      </c>
      <c r="E126" s="429">
        <v>46175</v>
      </c>
      <c r="G126" s="32" t="s">
        <v>910</v>
      </c>
      <c r="H126" s="450"/>
      <c r="I126" s="450"/>
      <c r="J126" s="450"/>
      <c r="K126" s="450"/>
      <c r="L126" s="450"/>
      <c r="N126" s="327" t="s">
        <v>1207</v>
      </c>
      <c r="O126" s="44"/>
      <c r="P126" s="57">
        <v>7</v>
      </c>
      <c r="Q126" s="57">
        <v>0</v>
      </c>
      <c r="R126" s="44"/>
      <c r="T126" s="44"/>
      <c r="U126" s="44"/>
      <c r="V126" s="44"/>
    </row>
    <row r="127" spans="1:22" ht="13">
      <c r="A127" s="447" t="s">
        <v>1208</v>
      </c>
      <c r="B127" s="448" t="s">
        <v>1209</v>
      </c>
      <c r="C127" s="41"/>
      <c r="D127" s="449" t="s">
        <v>1210</v>
      </c>
      <c r="E127" s="437"/>
      <c r="G127" s="32" t="s">
        <v>910</v>
      </c>
      <c r="H127" s="447"/>
      <c r="I127" s="447"/>
      <c r="J127" s="447"/>
      <c r="K127" s="447"/>
      <c r="L127" s="447"/>
      <c r="N127" s="44" t="str">
        <f ca="1">IFERROR(__xludf.DUMMYFUNCTION("IFERROR(VLOOKUP(TRIM(O127), IMPORTRANGE(""1FiGIDbWXbrw3ESuMmD14r8eot08bsJofQ75uiKf4zAA"", ""23yearsold 1차!B:C""), 2, FALSE), """")"),"")</f>
        <v/>
      </c>
      <c r="O127" s="44"/>
      <c r="P127" s="44"/>
      <c r="Q127" s="44"/>
      <c r="R127" s="44"/>
      <c r="T127" s="44" t="str">
        <f ca="1">IFERROR(__xludf.DUMMYFUNCTION("IFERROR(VLOOKUP(TRIM(N127), IMPORTRANGE(""1FiGIDbWXbrw3ESuMmD14r8eot08bsJofQ75uiKf4zAA"", ""23yearsold 1차!B:D""), 3, FALSE), """")"),"")</f>
        <v/>
      </c>
      <c r="U127" s="44"/>
      <c r="V127" s="44" t="str">
        <f ca="1">IFERROR(__xludf.DUMMYFUNCTION("IFERROR(VLOOKUP(TRIM(N127), IMPORTRANGE(""1FiGIDbWXbrw3ESuMmD14r8eot08bsJofQ75uiKf4zAA"", ""23yearsold 1차!B:F""), 5, FALSE), """")"),"")</f>
        <v/>
      </c>
    </row>
    <row r="128" spans="1:22" ht="13">
      <c r="A128" s="450" t="s">
        <v>1211</v>
      </c>
      <c r="B128" s="451" t="s">
        <v>1212</v>
      </c>
      <c r="C128" s="106"/>
      <c r="D128" s="453" t="s">
        <v>1213</v>
      </c>
      <c r="E128" s="437"/>
      <c r="G128" s="32" t="s">
        <v>910</v>
      </c>
      <c r="H128" s="450"/>
      <c r="I128" s="450"/>
      <c r="J128" s="450"/>
      <c r="K128" s="450"/>
      <c r="L128" s="450"/>
      <c r="N128" s="44" t="str">
        <f ca="1">IFERROR(__xludf.DUMMYFUNCTION("IFERROR(VLOOKUP(TRIM(O128), IMPORTRANGE(""1FiGIDbWXbrw3ESuMmD14r8eot08bsJofQ75uiKf4zAA"", ""23yearsold 1차!B:C""), 2, FALSE), """")"),"")</f>
        <v/>
      </c>
      <c r="O128" s="44"/>
      <c r="P128" s="44"/>
      <c r="Q128" s="44"/>
      <c r="R128" s="44"/>
      <c r="T128" s="44" t="str">
        <f ca="1">IFERROR(__xludf.DUMMYFUNCTION("IFERROR(VLOOKUP(TRIM(N128), IMPORTRANGE(""1FiGIDbWXbrw3ESuMmD14r8eot08bsJofQ75uiKf4zAA"", ""23yearsold 1차!B:D""), 3, FALSE), """")"),"")</f>
        <v/>
      </c>
      <c r="U128" s="44"/>
      <c r="V128" s="44" t="str">
        <f ca="1">IFERROR(__xludf.DUMMYFUNCTION("IFERROR(VLOOKUP(TRIM(N128), IMPORTRANGE(""1FiGIDbWXbrw3ESuMmD14r8eot08bsJofQ75uiKf4zAA"", ""23yearsold 1차!B:F""), 5, FALSE), """")"),"")</f>
        <v/>
      </c>
    </row>
    <row r="129" spans="1:22" ht="13">
      <c r="A129" s="447" t="s">
        <v>1214</v>
      </c>
      <c r="B129" s="448" t="s">
        <v>1215</v>
      </c>
      <c r="C129" s="41"/>
      <c r="D129" s="449" t="s">
        <v>1216</v>
      </c>
      <c r="E129" s="437"/>
      <c r="G129" s="32" t="s">
        <v>910</v>
      </c>
      <c r="H129" s="447"/>
      <c r="I129" s="447"/>
      <c r="J129" s="447"/>
      <c r="K129" s="447"/>
      <c r="L129" s="447"/>
      <c r="N129" s="44" t="str">
        <f ca="1">IFERROR(__xludf.DUMMYFUNCTION("IFERROR(VLOOKUP(TRIM(O129), IMPORTRANGE(""1FiGIDbWXbrw3ESuMmD14r8eot08bsJofQ75uiKf4zAA"", ""23yearsold 1차!B:C""), 2, FALSE), """")"),"")</f>
        <v/>
      </c>
      <c r="O129" s="44"/>
      <c r="P129" s="44"/>
      <c r="Q129" s="44"/>
      <c r="R129" s="44"/>
      <c r="T129" s="44" t="str">
        <f ca="1">IFERROR(__xludf.DUMMYFUNCTION("IFERROR(VLOOKUP(TRIM(N129), IMPORTRANGE(""1FiGIDbWXbrw3ESuMmD14r8eot08bsJofQ75uiKf4zAA"", ""23yearsold 1차!B:D""), 3, FALSE), """")"),"")</f>
        <v/>
      </c>
      <c r="U129" s="44"/>
      <c r="V129" s="44" t="str">
        <f ca="1">IFERROR(__xludf.DUMMYFUNCTION("IFERROR(VLOOKUP(TRIM(N129), IMPORTRANGE(""1FiGIDbWXbrw3ESuMmD14r8eot08bsJofQ75uiKf4zAA"", ""23yearsold 1차!B:F""), 5, FALSE), """")"),"")</f>
        <v/>
      </c>
    </row>
    <row r="130" spans="1:22" ht="13">
      <c r="A130" s="450" t="s">
        <v>1217</v>
      </c>
      <c r="B130" s="451" t="s">
        <v>1218</v>
      </c>
      <c r="C130" s="106"/>
      <c r="D130" s="453" t="s">
        <v>1219</v>
      </c>
      <c r="E130" s="429">
        <v>46167</v>
      </c>
      <c r="G130" s="32" t="s">
        <v>910</v>
      </c>
      <c r="H130" s="450"/>
      <c r="I130" s="450"/>
      <c r="J130" s="450"/>
      <c r="K130" s="450"/>
      <c r="L130" s="450"/>
      <c r="N130" s="327" t="s">
        <v>1220</v>
      </c>
      <c r="O130" s="57">
        <v>67000</v>
      </c>
      <c r="P130" s="57">
        <v>72</v>
      </c>
      <c r="Q130" s="57">
        <v>4</v>
      </c>
      <c r="R130" s="44"/>
      <c r="T130" s="44"/>
      <c r="U130" s="44"/>
      <c r="V130" s="44"/>
    </row>
    <row r="131" spans="1:22" ht="13">
      <c r="A131" s="447" t="s">
        <v>1221</v>
      </c>
      <c r="B131" s="452" t="s">
        <v>1222</v>
      </c>
      <c r="C131" s="41"/>
      <c r="D131" s="449" t="s">
        <v>1223</v>
      </c>
      <c r="E131" s="429">
        <v>46170</v>
      </c>
      <c r="G131" s="32" t="s">
        <v>910</v>
      </c>
      <c r="H131" s="447"/>
      <c r="I131" s="447"/>
      <c r="J131" s="447"/>
      <c r="K131" s="447"/>
      <c r="L131" s="447"/>
      <c r="N131" s="327" t="s">
        <v>1224</v>
      </c>
      <c r="O131" s="44"/>
      <c r="P131" s="57">
        <v>36</v>
      </c>
      <c r="Q131" s="57">
        <v>0</v>
      </c>
      <c r="R131" s="44"/>
      <c r="T131" s="44"/>
      <c r="U131" s="44"/>
      <c r="V131" s="44"/>
    </row>
    <row r="132" spans="1:22" ht="13">
      <c r="A132" s="450" t="s">
        <v>1225</v>
      </c>
      <c r="B132" s="451" t="s">
        <v>1226</v>
      </c>
      <c r="C132" s="106"/>
      <c r="D132" s="453" t="s">
        <v>1227</v>
      </c>
      <c r="E132" s="437"/>
      <c r="G132" s="32" t="s">
        <v>910</v>
      </c>
      <c r="H132" s="450"/>
      <c r="I132" s="450"/>
      <c r="J132" s="450"/>
      <c r="K132" s="450"/>
      <c r="L132" s="450"/>
      <c r="N132" s="44" t="str">
        <f ca="1">IFERROR(__xludf.DUMMYFUNCTION("IFERROR(VLOOKUP(TRIM(O132), IMPORTRANGE(""1FiGIDbWXbrw3ESuMmD14r8eot08bsJofQ75uiKf4zAA"", ""23yearsold 1차!B:C""), 2, FALSE), """")"),"")</f>
        <v/>
      </c>
      <c r="O132" s="44"/>
      <c r="P132" s="44"/>
      <c r="Q132" s="44"/>
      <c r="R132" s="44"/>
      <c r="T132" s="44" t="str">
        <f ca="1">IFERROR(__xludf.DUMMYFUNCTION("IFERROR(VLOOKUP(TRIM(N132), IMPORTRANGE(""1FiGIDbWXbrw3ESuMmD14r8eot08bsJofQ75uiKf4zAA"", ""23yearsold 1차!B:D""), 3, FALSE), """")"),"")</f>
        <v/>
      </c>
      <c r="U132" s="44"/>
      <c r="V132" s="44" t="str">
        <f ca="1">IFERROR(__xludf.DUMMYFUNCTION("IFERROR(VLOOKUP(TRIM(N132), IMPORTRANGE(""1FiGIDbWXbrw3ESuMmD14r8eot08bsJofQ75uiKf4zAA"", ""23yearsold 1차!B:F""), 5, FALSE), """")"),"")</f>
        <v/>
      </c>
    </row>
    <row r="133" spans="1:22" ht="13">
      <c r="A133" s="447" t="s">
        <v>1228</v>
      </c>
      <c r="B133" s="448" t="s">
        <v>1229</v>
      </c>
      <c r="C133" s="41"/>
      <c r="D133" s="449" t="s">
        <v>1230</v>
      </c>
      <c r="E133" s="429">
        <v>46167</v>
      </c>
      <c r="G133" s="32" t="s">
        <v>910</v>
      </c>
      <c r="H133" s="447"/>
      <c r="I133" s="447"/>
      <c r="J133" s="447"/>
      <c r="K133" s="447"/>
      <c r="L133" s="447"/>
      <c r="N133" s="327" t="s">
        <v>1231</v>
      </c>
      <c r="O133" s="435">
        <v>149</v>
      </c>
      <c r="P133" s="435">
        <v>1</v>
      </c>
      <c r="Q133" s="44"/>
      <c r="R133" s="44"/>
      <c r="T133" s="44"/>
      <c r="U133" s="44"/>
      <c r="V133" s="44"/>
    </row>
    <row r="134" spans="1:22" ht="13">
      <c r="A134" s="450" t="s">
        <v>1232</v>
      </c>
      <c r="B134" s="451" t="s">
        <v>1233</v>
      </c>
      <c r="C134" s="106"/>
      <c r="D134" s="453" t="s">
        <v>1234</v>
      </c>
      <c r="E134" s="429">
        <v>46166</v>
      </c>
      <c r="G134" s="32" t="s">
        <v>910</v>
      </c>
      <c r="H134" s="450"/>
      <c r="I134" s="450"/>
      <c r="J134" s="450"/>
      <c r="K134" s="450"/>
      <c r="L134" s="450"/>
      <c r="N134" s="327" t="s">
        <v>1235</v>
      </c>
      <c r="O134" s="436"/>
      <c r="P134" s="435">
        <v>21</v>
      </c>
      <c r="Q134" s="44"/>
      <c r="R134" s="44"/>
      <c r="T134" s="44"/>
      <c r="U134" s="44"/>
      <c r="V134" s="44"/>
    </row>
    <row r="135" spans="1:22" ht="13">
      <c r="A135" s="447" t="s">
        <v>1236</v>
      </c>
      <c r="B135" s="448" t="s">
        <v>1237</v>
      </c>
      <c r="C135" s="41"/>
      <c r="D135" s="449" t="s">
        <v>1238</v>
      </c>
      <c r="E135" s="429">
        <v>46163</v>
      </c>
      <c r="G135" s="32" t="s">
        <v>910</v>
      </c>
      <c r="H135" s="441" t="s">
        <v>1239</v>
      </c>
      <c r="I135" s="447"/>
      <c r="J135" s="447"/>
      <c r="K135" s="447"/>
      <c r="L135" s="447"/>
      <c r="N135" s="327" t="s">
        <v>1240</v>
      </c>
      <c r="O135" s="436"/>
      <c r="P135" s="435">
        <v>27</v>
      </c>
      <c r="Q135" s="44"/>
      <c r="R135" s="44"/>
      <c r="U135" s="44"/>
      <c r="V135" s="327"/>
    </row>
    <row r="136" spans="1:22" ht="13">
      <c r="A136" s="450" t="s">
        <v>1241</v>
      </c>
      <c r="B136" s="451" t="s">
        <v>1242</v>
      </c>
      <c r="C136" s="106"/>
      <c r="D136" s="106"/>
      <c r="E136" s="437"/>
      <c r="G136" s="32" t="s">
        <v>910</v>
      </c>
      <c r="H136" s="44" t="str">
        <f ca="1">IFERROR(__xludf.DUMMYFUNCTION("IFERROR(VLOOKUP(TRIM(N136), IMPORTRANGE(""1FiGIDbWXbrw3ESuMmD14r8eot08bsJofQ75uiKf4zAA"", ""23yearsold 1차!B:D""), 3, FALSE), """")"),"")</f>
        <v/>
      </c>
      <c r="I136" s="450"/>
      <c r="J136" s="450"/>
      <c r="K136" s="450"/>
      <c r="L136" s="450"/>
      <c r="N136" s="44" t="str">
        <f ca="1">IFERROR(__xludf.DUMMYFUNCTION("IFERROR(VLOOKUP(TRIM(O136), IMPORTRANGE(""1FiGIDbWXbrw3ESuMmD14r8eot08bsJofQ75uiKf4zAA"", ""23yearsold 1차!B:C""), 2, FALSE), """")"),"")</f>
        <v/>
      </c>
      <c r="O136" s="44"/>
      <c r="P136" s="44"/>
      <c r="Q136" s="44"/>
      <c r="R136" s="44"/>
      <c r="U136" s="44"/>
      <c r="V136" s="44" t="str">
        <f ca="1">IFERROR(__xludf.DUMMYFUNCTION("IFERROR(VLOOKUP(TRIM(N136), IMPORTRANGE(""1FiGIDbWXbrw3ESuMmD14r8eot08bsJofQ75uiKf4zAA"", ""23yearsold 1차!B:F""), 5, FALSE), """")"),"")</f>
        <v/>
      </c>
    </row>
    <row r="137" spans="1:22" ht="13">
      <c r="A137" s="447" t="s">
        <v>1243</v>
      </c>
      <c r="B137" s="448" t="s">
        <v>1244</v>
      </c>
      <c r="C137" s="41"/>
      <c r="D137" s="449" t="s">
        <v>1245</v>
      </c>
      <c r="E137" s="429">
        <v>46167</v>
      </c>
      <c r="G137" s="32" t="s">
        <v>910</v>
      </c>
      <c r="H137" s="44"/>
      <c r="I137" s="447"/>
      <c r="J137" s="447"/>
      <c r="K137" s="447"/>
      <c r="L137" s="447"/>
      <c r="N137" s="327" t="s">
        <v>1246</v>
      </c>
      <c r="O137" s="44"/>
      <c r="P137" s="57">
        <v>36</v>
      </c>
      <c r="Q137" s="57">
        <v>0</v>
      </c>
      <c r="R137" s="44"/>
      <c r="U137" s="44"/>
      <c r="V137" s="44"/>
    </row>
    <row r="138" spans="1:22" ht="13">
      <c r="A138" s="456" t="s">
        <v>1247</v>
      </c>
      <c r="B138" s="457" t="s">
        <v>1248</v>
      </c>
      <c r="C138" s="106"/>
      <c r="D138" s="453" t="s">
        <v>1249</v>
      </c>
      <c r="E138" s="429">
        <v>46176</v>
      </c>
      <c r="G138" s="32" t="s">
        <v>910</v>
      </c>
      <c r="H138" s="44"/>
      <c r="I138" s="456"/>
      <c r="J138" s="456"/>
      <c r="K138" s="456"/>
      <c r="L138" s="456"/>
      <c r="N138" s="327" t="s">
        <v>1250</v>
      </c>
      <c r="O138" s="44"/>
      <c r="P138" s="57">
        <v>12</v>
      </c>
      <c r="Q138" s="57">
        <v>0</v>
      </c>
      <c r="R138" s="44"/>
      <c r="U138" s="44"/>
      <c r="V138" s="44"/>
    </row>
    <row r="139" spans="1:22" ht="13">
      <c r="A139" s="447" t="s">
        <v>1251</v>
      </c>
      <c r="B139" s="448" t="s">
        <v>1252</v>
      </c>
      <c r="C139" s="449" t="s">
        <v>1253</v>
      </c>
      <c r="D139" s="41"/>
      <c r="E139" s="437"/>
      <c r="G139" s="32" t="s">
        <v>910</v>
      </c>
      <c r="H139" s="44" t="str">
        <f ca="1">IFERROR(__xludf.DUMMYFUNCTION("IFERROR(VLOOKUP(TRIM(N139), IMPORTRANGE(""1FiGIDbWXbrw3ESuMmD14r8eot08bsJofQ75uiKf4zAA"", ""23yearsold 1차!B:D""), 3, FALSE), """")"),"")</f>
        <v/>
      </c>
      <c r="I139" s="447"/>
      <c r="J139" s="447"/>
      <c r="K139" s="447"/>
      <c r="L139" s="447"/>
      <c r="N139" s="44" t="str">
        <f ca="1">IFERROR(__xludf.DUMMYFUNCTION("IFERROR(VLOOKUP(TRIM(O139), IMPORTRANGE(""1FiGIDbWXbrw3ESuMmD14r8eot08bsJofQ75uiKf4zAA"", ""23yearsold 1차!B:C""), 2, FALSE), """")"),"")</f>
        <v/>
      </c>
      <c r="O139" s="44"/>
      <c r="P139" s="44"/>
      <c r="Q139" s="44"/>
      <c r="R139" s="44"/>
      <c r="U139" s="44"/>
      <c r="V139" s="44" t="str">
        <f ca="1">IFERROR(__xludf.DUMMYFUNCTION("IFERROR(VLOOKUP(TRIM(N139), IMPORTRANGE(""1FiGIDbWXbrw3ESuMmD14r8eot08bsJofQ75uiKf4zAA"", ""23yearsold 1차!B:F""), 5, FALSE), """")"),"")</f>
        <v/>
      </c>
    </row>
    <row r="140" spans="1:22" ht="13">
      <c r="A140" s="450" t="s">
        <v>1254</v>
      </c>
      <c r="B140" s="451" t="s">
        <v>1255</v>
      </c>
      <c r="C140" s="106"/>
      <c r="D140" s="453" t="s">
        <v>1256</v>
      </c>
      <c r="E140" s="437"/>
      <c r="G140" s="32" t="s">
        <v>910</v>
      </c>
      <c r="H140" s="44" t="str">
        <f ca="1">IFERROR(__xludf.DUMMYFUNCTION("IFERROR(VLOOKUP(TRIM(N140), IMPORTRANGE(""1FiGIDbWXbrw3ESuMmD14r8eot08bsJofQ75uiKf4zAA"", ""23yearsold 1차!B:D""), 3, FALSE), """")"),"")</f>
        <v/>
      </c>
      <c r="I140" s="450"/>
      <c r="J140" s="450"/>
      <c r="K140" s="450"/>
      <c r="L140" s="450"/>
      <c r="N140" s="44" t="str">
        <f ca="1">IFERROR(__xludf.DUMMYFUNCTION("IFERROR(VLOOKUP(TRIM(O140), IMPORTRANGE(""1FiGIDbWXbrw3ESuMmD14r8eot08bsJofQ75uiKf4zAA"", ""23yearsold 1차!B:C""), 2, FALSE), """")"),"")</f>
        <v/>
      </c>
      <c r="O140" s="44"/>
      <c r="P140" s="44"/>
      <c r="Q140" s="44"/>
      <c r="R140" s="44"/>
      <c r="U140" s="44"/>
      <c r="V140" s="44" t="str">
        <f ca="1">IFERROR(__xludf.DUMMYFUNCTION("IFERROR(VLOOKUP(TRIM(N140), IMPORTRANGE(""1FiGIDbWXbrw3ESuMmD14r8eot08bsJofQ75uiKf4zAA"", ""23yearsold 1차!B:F""), 5, FALSE), """")"),"")</f>
        <v/>
      </c>
    </row>
    <row r="141" spans="1:22" ht="13">
      <c r="A141" s="447" t="s">
        <v>1257</v>
      </c>
      <c r="B141" s="448" t="s">
        <v>1258</v>
      </c>
      <c r="C141" s="41"/>
      <c r="D141" s="449" t="s">
        <v>1259</v>
      </c>
      <c r="E141" s="429">
        <v>46171</v>
      </c>
      <c r="G141" s="32" t="s">
        <v>910</v>
      </c>
      <c r="H141" s="327" t="s">
        <v>1260</v>
      </c>
      <c r="I141" s="57">
        <v>1544</v>
      </c>
      <c r="J141" s="57">
        <v>36</v>
      </c>
      <c r="K141" s="447"/>
      <c r="L141" s="447"/>
      <c r="N141" s="44"/>
      <c r="Q141" s="44"/>
      <c r="R141" s="44"/>
      <c r="U141" s="44"/>
      <c r="V141" s="44"/>
    </row>
    <row r="142" spans="1:22" ht="13">
      <c r="A142" s="450" t="s">
        <v>1261</v>
      </c>
      <c r="B142" s="451" t="s">
        <v>1262</v>
      </c>
      <c r="C142" s="453" t="s">
        <v>1263</v>
      </c>
      <c r="D142" s="106"/>
      <c r="E142" s="437"/>
      <c r="G142" s="32" t="s">
        <v>910</v>
      </c>
      <c r="H142" s="450"/>
      <c r="I142" s="450"/>
      <c r="J142" s="450"/>
      <c r="K142" s="450"/>
      <c r="L142" s="450"/>
      <c r="N142" s="44" t="str">
        <f ca="1">IFERROR(__xludf.DUMMYFUNCTION("IFERROR(VLOOKUP(TRIM(O142), IMPORTRANGE(""1FiGIDbWXbrw3ESuMmD14r8eot08bsJofQ75uiKf4zAA"", ""23yearsold 1차!B:C""), 2, FALSE), """")"),"")</f>
        <v/>
      </c>
      <c r="O142" s="44"/>
      <c r="P142" s="44"/>
      <c r="Q142" s="44"/>
      <c r="R142" s="44"/>
      <c r="T142" s="44" t="str">
        <f ca="1">IFERROR(__xludf.DUMMYFUNCTION("IFERROR(VLOOKUP(TRIM(N142), IMPORTRANGE(""1FiGIDbWXbrw3ESuMmD14r8eot08bsJofQ75uiKf4zAA"", ""23yearsold 1차!B:D""), 3, FALSE), """")"),"")</f>
        <v/>
      </c>
      <c r="U142" s="44"/>
      <c r="V142" s="44" t="str">
        <f ca="1">IFERROR(__xludf.DUMMYFUNCTION("IFERROR(VLOOKUP(TRIM(N142), IMPORTRANGE(""1FiGIDbWXbrw3ESuMmD14r8eot08bsJofQ75uiKf4zAA"", ""23yearsold 1차!B:F""), 5, FALSE), """")"),"")</f>
        <v/>
      </c>
    </row>
    <row r="143" spans="1:22" ht="13">
      <c r="A143" s="447" t="s">
        <v>1264</v>
      </c>
      <c r="B143" s="448" t="s">
        <v>1265</v>
      </c>
      <c r="C143" s="41"/>
      <c r="D143" s="449" t="s">
        <v>1266</v>
      </c>
      <c r="E143" s="429">
        <v>46163</v>
      </c>
      <c r="G143" s="32" t="s">
        <v>910</v>
      </c>
      <c r="H143" s="447"/>
      <c r="I143" s="447"/>
      <c r="J143" s="447"/>
      <c r="K143" s="447"/>
      <c r="L143" s="447"/>
      <c r="N143" s="327" t="s">
        <v>1267</v>
      </c>
      <c r="O143" s="436"/>
      <c r="P143" s="435">
        <v>24</v>
      </c>
      <c r="Q143" s="44"/>
      <c r="R143" s="44"/>
      <c r="T143" s="44"/>
      <c r="U143" s="44"/>
      <c r="V143" s="44"/>
    </row>
    <row r="144" spans="1:22" ht="13">
      <c r="A144" s="450" t="s">
        <v>1268</v>
      </c>
      <c r="B144" s="451" t="s">
        <v>1269</v>
      </c>
      <c r="C144" s="453" t="s">
        <v>1270</v>
      </c>
      <c r="D144" s="106"/>
      <c r="E144" s="437"/>
      <c r="G144" s="32" t="s">
        <v>910</v>
      </c>
      <c r="H144" s="450"/>
      <c r="I144" s="450"/>
      <c r="J144" s="450"/>
      <c r="K144" s="450"/>
      <c r="L144" s="450"/>
      <c r="N144" s="44" t="str">
        <f ca="1">IFERROR(__xludf.DUMMYFUNCTION("IFERROR(VLOOKUP(TRIM(O144), IMPORTRANGE(""1FiGIDbWXbrw3ESuMmD14r8eot08bsJofQ75uiKf4zAA"", ""23yearsold 1차!B:C""), 2, FALSE), """")"),"")</f>
        <v/>
      </c>
      <c r="O144" s="44"/>
      <c r="P144" s="44"/>
      <c r="Q144" s="44"/>
      <c r="R144" s="44"/>
      <c r="T144" s="44" t="str">
        <f ca="1">IFERROR(__xludf.DUMMYFUNCTION("IFERROR(VLOOKUP(TRIM(N144), IMPORTRANGE(""1FiGIDbWXbrw3ESuMmD14r8eot08bsJofQ75uiKf4zAA"", ""23yearsold 1차!B:D""), 3, FALSE), """")"),"")</f>
        <v/>
      </c>
      <c r="U144" s="44"/>
      <c r="V144" s="44" t="str">
        <f ca="1">IFERROR(__xludf.DUMMYFUNCTION("IFERROR(VLOOKUP(TRIM(N144), IMPORTRANGE(""1FiGIDbWXbrw3ESuMmD14r8eot08bsJofQ75uiKf4zAA"", ""23yearsold 1차!B:F""), 5, FALSE), """")"),"")</f>
        <v/>
      </c>
    </row>
    <row r="145" spans="1:22" ht="13">
      <c r="A145" s="447" t="s">
        <v>1271</v>
      </c>
      <c r="B145" s="448" t="s">
        <v>1272</v>
      </c>
      <c r="C145" s="41"/>
      <c r="D145" s="449" t="s">
        <v>1273</v>
      </c>
      <c r="E145" s="429">
        <v>46163</v>
      </c>
      <c r="G145" s="32" t="s">
        <v>910</v>
      </c>
      <c r="H145" s="447"/>
      <c r="I145" s="447"/>
      <c r="J145" s="447"/>
      <c r="K145" s="447"/>
      <c r="L145" s="447"/>
      <c r="N145" s="327" t="s">
        <v>1274</v>
      </c>
      <c r="O145" s="435">
        <v>177</v>
      </c>
      <c r="P145" s="435">
        <v>20</v>
      </c>
      <c r="Q145" s="44"/>
      <c r="R145" s="44"/>
      <c r="T145" s="44"/>
      <c r="U145" s="44"/>
      <c r="V145" s="44"/>
    </row>
    <row r="146" spans="1:22" ht="13">
      <c r="A146" s="450" t="s">
        <v>1275</v>
      </c>
      <c r="B146" s="451">
        <v>8108046704305</v>
      </c>
      <c r="C146" s="453" t="s">
        <v>1276</v>
      </c>
      <c r="D146" s="106"/>
      <c r="E146" s="437"/>
      <c r="G146" s="32" t="s">
        <v>910</v>
      </c>
      <c r="H146" s="450"/>
      <c r="I146" s="450"/>
      <c r="J146" s="450"/>
      <c r="K146" s="450"/>
      <c r="L146" s="450"/>
      <c r="N146" s="44" t="str">
        <f ca="1">IFERROR(__xludf.DUMMYFUNCTION("IFERROR(VLOOKUP(TRIM(O146), IMPORTRANGE(""1FiGIDbWXbrw3ESuMmD14r8eot08bsJofQ75uiKf4zAA"", ""23yearsold 1차!B:C""), 2, FALSE), """")"),"")</f>
        <v/>
      </c>
      <c r="O146" s="44"/>
      <c r="P146" s="44"/>
      <c r="Q146" s="44"/>
      <c r="R146" s="44"/>
      <c r="T146" s="44" t="str">
        <f ca="1">IFERROR(__xludf.DUMMYFUNCTION("IFERROR(VLOOKUP(TRIM(N146), IMPORTRANGE(""1FiGIDbWXbrw3ESuMmD14r8eot08bsJofQ75uiKf4zAA"", ""23yearsold 1차!B:D""), 3, FALSE), """")"),"")</f>
        <v/>
      </c>
      <c r="U146" s="44"/>
      <c r="V146" s="44" t="str">
        <f ca="1">IFERROR(__xludf.DUMMYFUNCTION("IFERROR(VLOOKUP(TRIM(N146), IMPORTRANGE(""1FiGIDbWXbrw3ESuMmD14r8eot08bsJofQ75uiKf4zAA"", ""23yearsold 1차!B:F""), 5, FALSE), """")"),"")</f>
        <v/>
      </c>
    </row>
    <row r="147" spans="1:22" ht="13">
      <c r="A147" s="447" t="s">
        <v>1277</v>
      </c>
      <c r="B147" s="448" t="s">
        <v>1278</v>
      </c>
      <c r="C147" s="41"/>
      <c r="D147" s="41"/>
      <c r="E147" s="437"/>
      <c r="G147" s="32" t="s">
        <v>910</v>
      </c>
      <c r="H147" s="447"/>
      <c r="I147" s="447"/>
      <c r="J147" s="447"/>
      <c r="K147" s="447"/>
      <c r="L147" s="447"/>
      <c r="N147" s="44" t="str">
        <f ca="1">IFERROR(__xludf.DUMMYFUNCTION("IFERROR(VLOOKUP(TRIM(O147), IMPORTRANGE(""1FiGIDbWXbrw3ESuMmD14r8eot08bsJofQ75uiKf4zAA"", ""23yearsold 1차!B:C""), 2, FALSE), """")"),"")</f>
        <v/>
      </c>
      <c r="O147" s="44"/>
      <c r="P147" s="44"/>
      <c r="Q147" s="44"/>
      <c r="R147" s="44"/>
      <c r="T147" s="44" t="str">
        <f ca="1">IFERROR(__xludf.DUMMYFUNCTION("IFERROR(VLOOKUP(TRIM(N147), IMPORTRANGE(""1FiGIDbWXbrw3ESuMmD14r8eot08bsJofQ75uiKf4zAA"", ""23yearsold 1차!B:D""), 3, FALSE), """")"),"")</f>
        <v/>
      </c>
      <c r="U147" s="44"/>
      <c r="V147" s="44" t="str">
        <f ca="1">IFERROR(__xludf.DUMMYFUNCTION("IFERROR(VLOOKUP(TRIM(N147), IMPORTRANGE(""1FiGIDbWXbrw3ESuMmD14r8eot08bsJofQ75uiKf4zAA"", ""23yearsold 1차!B:F""), 5, FALSE), """")"),"")</f>
        <v/>
      </c>
    </row>
    <row r="148" spans="1:22" ht="13">
      <c r="A148" s="450" t="s">
        <v>1279</v>
      </c>
      <c r="B148" s="455" t="s">
        <v>1280</v>
      </c>
      <c r="C148" s="106"/>
      <c r="D148" s="106"/>
      <c r="E148" s="432">
        <v>46163</v>
      </c>
      <c r="G148" s="32" t="s">
        <v>910</v>
      </c>
      <c r="H148" s="442" t="s">
        <v>1281</v>
      </c>
      <c r="I148" s="450"/>
      <c r="J148" s="450"/>
      <c r="K148" s="450"/>
      <c r="L148" s="450"/>
      <c r="N148" s="325" t="s">
        <v>1282</v>
      </c>
      <c r="O148" s="458"/>
      <c r="P148" s="433">
        <v>22</v>
      </c>
      <c r="Q148" s="41"/>
      <c r="R148" s="41"/>
      <c r="U148" s="41"/>
      <c r="V148" s="325"/>
    </row>
    <row r="149" spans="1:22" ht="13">
      <c r="A149" s="447" t="s">
        <v>1283</v>
      </c>
      <c r="B149" s="448" t="s">
        <v>1284</v>
      </c>
      <c r="C149" s="449" t="s">
        <v>1285</v>
      </c>
      <c r="D149" s="449" t="s">
        <v>1286</v>
      </c>
      <c r="E149" s="429">
        <v>46164</v>
      </c>
      <c r="G149" s="32" t="s">
        <v>910</v>
      </c>
      <c r="H149" s="441" t="s">
        <v>1287</v>
      </c>
      <c r="I149" s="447"/>
      <c r="J149" s="447"/>
      <c r="K149" s="447"/>
      <c r="L149" s="447"/>
      <c r="N149" s="327" t="s">
        <v>1288</v>
      </c>
      <c r="O149" s="44"/>
      <c r="P149" s="57">
        <v>58</v>
      </c>
      <c r="Q149" s="57">
        <v>7</v>
      </c>
      <c r="R149" s="44"/>
      <c r="U149" s="44"/>
      <c r="V149" s="327"/>
    </row>
    <row r="150" spans="1:22" ht="13">
      <c r="A150" s="450" t="s">
        <v>1289</v>
      </c>
      <c r="B150" s="455" t="s">
        <v>1290</v>
      </c>
      <c r="C150" s="106"/>
      <c r="D150" s="453" t="s">
        <v>1291</v>
      </c>
      <c r="E150" s="437"/>
      <c r="G150" s="32" t="s">
        <v>910</v>
      </c>
      <c r="H150" s="450"/>
      <c r="I150" s="450"/>
      <c r="J150" s="450"/>
      <c r="K150" s="450"/>
      <c r="L150" s="450"/>
      <c r="N150" s="44" t="str">
        <f ca="1">IFERROR(__xludf.DUMMYFUNCTION("IFERROR(VLOOKUP(TRIM(O150), IMPORTRANGE(""1FiGIDbWXbrw3ESuMmD14r8eot08bsJofQ75uiKf4zAA"", ""23yearsold 1차!B:C""), 2, FALSE), """")"),"")</f>
        <v/>
      </c>
      <c r="O150" s="44"/>
      <c r="P150" s="44"/>
      <c r="Q150" s="44"/>
      <c r="R150" s="44"/>
      <c r="T150" s="44" t="str">
        <f ca="1">IFERROR(__xludf.DUMMYFUNCTION("IFERROR(VLOOKUP(TRIM(N150), IMPORTRANGE(""1FiGIDbWXbrw3ESuMmD14r8eot08bsJofQ75uiKf4zAA"", ""23yearsold 1차!B:D""), 3, FALSE), """")"),"")</f>
        <v/>
      </c>
      <c r="U150" s="44"/>
      <c r="V150" s="44" t="str">
        <f ca="1">IFERROR(__xludf.DUMMYFUNCTION("IFERROR(VLOOKUP(TRIM(N150), IMPORTRANGE(""1FiGIDbWXbrw3ESuMmD14r8eot08bsJofQ75uiKf4zAA"", ""23yearsold 1차!B:F""), 5, FALSE), """")"),"")</f>
        <v/>
      </c>
    </row>
    <row r="151" spans="1:22" ht="13">
      <c r="A151" s="447" t="s">
        <v>1292</v>
      </c>
      <c r="B151" s="448" t="s">
        <v>1293</v>
      </c>
      <c r="C151" s="41"/>
      <c r="D151" s="449" t="s">
        <v>1294</v>
      </c>
      <c r="E151" s="437"/>
      <c r="G151" s="32" t="s">
        <v>910</v>
      </c>
      <c r="H151" s="447"/>
      <c r="I151" s="447"/>
      <c r="J151" s="447"/>
      <c r="K151" s="447"/>
      <c r="L151" s="447"/>
      <c r="N151" s="44" t="str">
        <f ca="1">IFERROR(__xludf.DUMMYFUNCTION("IFERROR(VLOOKUP(TRIM(O151), IMPORTRANGE(""1FiGIDbWXbrw3ESuMmD14r8eot08bsJofQ75uiKf4zAA"", ""23yearsold 1차!B:C""), 2, FALSE), """")"),"")</f>
        <v/>
      </c>
      <c r="O151" s="44"/>
      <c r="P151" s="44"/>
      <c r="Q151" s="44"/>
      <c r="R151" s="44"/>
      <c r="T151" s="44" t="str">
        <f ca="1">IFERROR(__xludf.DUMMYFUNCTION("IFERROR(VLOOKUP(TRIM(N151), IMPORTRANGE(""1FiGIDbWXbrw3ESuMmD14r8eot08bsJofQ75uiKf4zAA"", ""23yearsold 1차!B:D""), 3, FALSE), """")"),"")</f>
        <v/>
      </c>
      <c r="U151" s="44"/>
      <c r="V151" s="44" t="str">
        <f ca="1">IFERROR(__xludf.DUMMYFUNCTION("IFERROR(VLOOKUP(TRIM(N151), IMPORTRANGE(""1FiGIDbWXbrw3ESuMmD14r8eot08bsJofQ75uiKf4zAA"", ""23yearsold 1차!B:F""), 5, FALSE), """")"),"")</f>
        <v/>
      </c>
    </row>
    <row r="152" spans="1:22" ht="13">
      <c r="A152" s="450" t="s">
        <v>1295</v>
      </c>
      <c r="B152" s="451" t="s">
        <v>1296</v>
      </c>
      <c r="C152" s="106"/>
      <c r="D152" s="453" t="s">
        <v>1297</v>
      </c>
      <c r="E152" s="437"/>
      <c r="G152" s="32" t="s">
        <v>910</v>
      </c>
      <c r="H152" s="450"/>
      <c r="I152" s="450"/>
      <c r="J152" s="450"/>
      <c r="K152" s="450"/>
      <c r="L152" s="450"/>
      <c r="N152" s="44" t="str">
        <f ca="1">IFERROR(__xludf.DUMMYFUNCTION("IFERROR(VLOOKUP(TRIM(O152), IMPORTRANGE(""1FiGIDbWXbrw3ESuMmD14r8eot08bsJofQ75uiKf4zAA"", ""23yearsold 1차!B:C""), 2, FALSE), """")"),"")</f>
        <v/>
      </c>
      <c r="O152" s="44"/>
      <c r="P152" s="44"/>
      <c r="Q152" s="44"/>
      <c r="R152" s="44"/>
      <c r="T152" s="44" t="str">
        <f ca="1">IFERROR(__xludf.DUMMYFUNCTION("IFERROR(VLOOKUP(TRIM(N152), IMPORTRANGE(""1FiGIDbWXbrw3ESuMmD14r8eot08bsJofQ75uiKf4zAA"", ""23yearsold 1차!B:D""), 3, FALSE), """")"),"")</f>
        <v/>
      </c>
      <c r="U152" s="44"/>
      <c r="V152" s="44" t="str">
        <f ca="1">IFERROR(__xludf.DUMMYFUNCTION("IFERROR(VLOOKUP(TRIM(N152), IMPORTRANGE(""1FiGIDbWXbrw3ESuMmD14r8eot08bsJofQ75uiKf4zAA"", ""23yearsold 1차!B:F""), 5, FALSE), """")"),"")</f>
        <v/>
      </c>
    </row>
    <row r="153" spans="1:22" ht="13">
      <c r="A153" s="447" t="s">
        <v>1298</v>
      </c>
      <c r="B153" s="448" t="s">
        <v>1299</v>
      </c>
      <c r="C153" s="41"/>
      <c r="D153" s="41"/>
      <c r="E153" s="437"/>
      <c r="G153" s="32" t="s">
        <v>910</v>
      </c>
      <c r="H153" s="447"/>
      <c r="I153" s="447"/>
      <c r="J153" s="447"/>
      <c r="K153" s="447"/>
      <c r="L153" s="447"/>
      <c r="N153" s="44" t="str">
        <f ca="1">IFERROR(__xludf.DUMMYFUNCTION("IFERROR(VLOOKUP(TRIM(O153), IMPORTRANGE(""1FiGIDbWXbrw3ESuMmD14r8eot08bsJofQ75uiKf4zAA"", ""23yearsold 1차!B:C""), 2, FALSE), """")"),"")</f>
        <v/>
      </c>
      <c r="O153" s="44"/>
      <c r="P153" s="44"/>
      <c r="Q153" s="44"/>
      <c r="R153" s="44"/>
      <c r="T153" s="44" t="str">
        <f ca="1">IFERROR(__xludf.DUMMYFUNCTION("IFERROR(VLOOKUP(TRIM(N153), IMPORTRANGE(""1FiGIDbWXbrw3ESuMmD14r8eot08bsJofQ75uiKf4zAA"", ""23yearsold 1차!B:D""), 3, FALSE), """")"),"")</f>
        <v/>
      </c>
      <c r="U153" s="44"/>
      <c r="V153" s="44" t="str">
        <f ca="1">IFERROR(__xludf.DUMMYFUNCTION("IFERROR(VLOOKUP(TRIM(N153), IMPORTRANGE(""1FiGIDbWXbrw3ESuMmD14r8eot08bsJofQ75uiKf4zAA"", ""23yearsold 1차!B:F""), 5, FALSE), """")"),"")</f>
        <v/>
      </c>
    </row>
    <row r="154" spans="1:22" ht="13">
      <c r="A154" s="450" t="s">
        <v>1300</v>
      </c>
      <c r="B154" s="455" t="s">
        <v>1301</v>
      </c>
      <c r="C154" s="453" t="s">
        <v>1302</v>
      </c>
      <c r="D154" s="106"/>
      <c r="E154" s="437"/>
      <c r="G154" s="32" t="s">
        <v>910</v>
      </c>
      <c r="H154" s="450"/>
      <c r="I154" s="450"/>
      <c r="J154" s="450"/>
      <c r="K154" s="450"/>
      <c r="L154" s="450"/>
      <c r="N154" s="44" t="str">
        <f ca="1">IFERROR(__xludf.DUMMYFUNCTION("IFERROR(VLOOKUP(TRIM(O154), IMPORTRANGE(""1FiGIDbWXbrw3ESuMmD14r8eot08bsJofQ75uiKf4zAA"", ""23yearsold 1차!B:C""), 2, FALSE), """")"),"")</f>
        <v/>
      </c>
      <c r="O154" s="44"/>
      <c r="P154" s="44"/>
      <c r="Q154" s="44"/>
      <c r="R154" s="44"/>
      <c r="T154" s="44" t="str">
        <f ca="1">IFERROR(__xludf.DUMMYFUNCTION("IFERROR(VLOOKUP(TRIM(N154), IMPORTRANGE(""1FiGIDbWXbrw3ESuMmD14r8eot08bsJofQ75uiKf4zAA"", ""23yearsold 1차!B:D""), 3, FALSE), """")"),"")</f>
        <v/>
      </c>
      <c r="U154" s="44"/>
      <c r="V154" s="44" t="str">
        <f ca="1">IFERROR(__xludf.DUMMYFUNCTION("IFERROR(VLOOKUP(TRIM(N154), IMPORTRANGE(""1FiGIDbWXbrw3ESuMmD14r8eot08bsJofQ75uiKf4zAA"", ""23yearsold 1차!B:F""), 5, FALSE), """")"),"")</f>
        <v/>
      </c>
    </row>
    <row r="155" spans="1:22" ht="13">
      <c r="A155" s="447" t="s">
        <v>1303</v>
      </c>
      <c r="B155" s="452" t="s">
        <v>1304</v>
      </c>
      <c r="C155" s="449" t="s">
        <v>1305</v>
      </c>
      <c r="D155" s="41"/>
      <c r="E155" s="437"/>
      <c r="G155" s="32" t="s">
        <v>910</v>
      </c>
      <c r="H155" s="447"/>
      <c r="I155" s="447"/>
      <c r="J155" s="447"/>
      <c r="K155" s="447"/>
      <c r="L155" s="447"/>
      <c r="N155" s="44" t="str">
        <f ca="1">IFERROR(__xludf.DUMMYFUNCTION("IFERROR(VLOOKUP(TRIM(O155), IMPORTRANGE(""1FiGIDbWXbrw3ESuMmD14r8eot08bsJofQ75uiKf4zAA"", ""23yearsold 1차!B:C""), 2, FALSE), """")"),"")</f>
        <v/>
      </c>
      <c r="O155" s="44"/>
      <c r="P155" s="44"/>
      <c r="Q155" s="44"/>
      <c r="R155" s="44"/>
      <c r="T155" s="44" t="str">
        <f ca="1">IFERROR(__xludf.DUMMYFUNCTION("IFERROR(VLOOKUP(TRIM(N155), IMPORTRANGE(""1FiGIDbWXbrw3ESuMmD14r8eot08bsJofQ75uiKf4zAA"", ""23yearsold 1차!B:D""), 3, FALSE), """")"),"")</f>
        <v/>
      </c>
      <c r="U155" s="44"/>
      <c r="V155" s="44" t="str">
        <f ca="1">IFERROR(__xludf.DUMMYFUNCTION("IFERROR(VLOOKUP(TRIM(N155), IMPORTRANGE(""1FiGIDbWXbrw3ESuMmD14r8eot08bsJofQ75uiKf4zAA"", ""23yearsold 1차!B:F""), 5, FALSE), """")"),"")</f>
        <v/>
      </c>
    </row>
    <row r="156" spans="1:22" ht="13">
      <c r="A156" s="459" t="s">
        <v>1306</v>
      </c>
      <c r="B156" s="460" t="s">
        <v>1307</v>
      </c>
      <c r="C156" s="36"/>
      <c r="D156" s="36"/>
      <c r="E156" s="429">
        <v>46157</v>
      </c>
      <c r="G156" s="32" t="s">
        <v>910</v>
      </c>
      <c r="H156" s="327" t="s">
        <v>1308</v>
      </c>
      <c r="I156" s="57">
        <v>919</v>
      </c>
      <c r="J156" s="57">
        <v>4</v>
      </c>
      <c r="K156" s="459"/>
      <c r="L156" s="459"/>
      <c r="N156" s="44"/>
      <c r="Q156" s="44"/>
      <c r="R156" s="44"/>
      <c r="U156" s="44"/>
      <c r="V156" s="44"/>
    </row>
    <row r="157" spans="1:22" ht="13">
      <c r="A157" s="447" t="s">
        <v>1309</v>
      </c>
      <c r="B157" s="452" t="s">
        <v>1310</v>
      </c>
      <c r="C157" s="449" t="s">
        <v>1311</v>
      </c>
      <c r="D157" s="41"/>
      <c r="E157" s="437"/>
      <c r="G157" s="32" t="s">
        <v>910</v>
      </c>
      <c r="H157" s="44" t="str">
        <f ca="1">IFERROR(__xludf.DUMMYFUNCTION("IFERROR(VLOOKUP(TRIM(N157), IMPORTRANGE(""1FiGIDbWXbrw3ESuMmD14r8eot08bsJofQ75uiKf4zAA"", ""23yearsold 1차!B:D""), 3, FALSE), """")"),"")</f>
        <v/>
      </c>
      <c r="I157" s="447"/>
      <c r="J157" s="447"/>
      <c r="K157" s="447"/>
      <c r="L157" s="447"/>
      <c r="N157" s="44" t="str">
        <f ca="1">IFERROR(__xludf.DUMMYFUNCTION("IFERROR(VLOOKUP(TRIM(O157), IMPORTRANGE(""1FiGIDbWXbrw3ESuMmD14r8eot08bsJofQ75uiKf4zAA"", ""23yearsold 1차!B:C""), 2, FALSE), """")"),"")</f>
        <v/>
      </c>
      <c r="O157" s="44"/>
      <c r="P157" s="44"/>
      <c r="Q157" s="44"/>
      <c r="R157" s="44"/>
      <c r="U157" s="44"/>
      <c r="V157" s="44" t="str">
        <f ca="1">IFERROR(__xludf.DUMMYFUNCTION("IFERROR(VLOOKUP(TRIM(N157), IMPORTRANGE(""1FiGIDbWXbrw3ESuMmD14r8eot08bsJofQ75uiKf4zAA"", ""23yearsold 1차!B:F""), 5, FALSE), """")"),"")</f>
        <v/>
      </c>
    </row>
    <row r="158" spans="1:22" ht="13">
      <c r="A158" s="450" t="s">
        <v>1312</v>
      </c>
      <c r="B158" s="451" t="s">
        <v>1313</v>
      </c>
      <c r="C158" s="453" t="s">
        <v>1314</v>
      </c>
      <c r="D158" s="106"/>
      <c r="E158" s="429">
        <v>46167</v>
      </c>
      <c r="G158" s="32" t="s">
        <v>910</v>
      </c>
      <c r="H158" s="87" t="s">
        <v>1315</v>
      </c>
      <c r="I158" s="450"/>
      <c r="J158" s="450"/>
      <c r="K158" s="450"/>
      <c r="L158" s="450"/>
      <c r="N158" s="327" t="s">
        <v>1316</v>
      </c>
      <c r="O158" s="435">
        <v>403</v>
      </c>
      <c r="P158" s="435">
        <v>4</v>
      </c>
      <c r="Q158" s="44"/>
      <c r="R158" s="44"/>
      <c r="U158" s="44"/>
      <c r="V158" s="327"/>
    </row>
    <row r="159" spans="1:22" ht="13">
      <c r="A159" s="447" t="s">
        <v>1317</v>
      </c>
      <c r="B159" s="452" t="s">
        <v>1318</v>
      </c>
      <c r="C159" s="41"/>
      <c r="D159" s="449" t="s">
        <v>1319</v>
      </c>
      <c r="E159" s="429">
        <v>46165</v>
      </c>
      <c r="G159" s="32" t="s">
        <v>910</v>
      </c>
      <c r="H159" s="327" t="s">
        <v>1320</v>
      </c>
      <c r="I159" s="447"/>
      <c r="J159" s="447"/>
      <c r="K159" s="447"/>
      <c r="L159" s="447"/>
      <c r="N159" s="327" t="s">
        <v>1321</v>
      </c>
      <c r="O159" s="436"/>
      <c r="P159" s="435">
        <v>9</v>
      </c>
      <c r="Q159" s="44"/>
      <c r="R159" s="44"/>
      <c r="U159" s="44"/>
      <c r="V159" s="44"/>
    </row>
    <row r="160" spans="1:22" ht="13">
      <c r="A160" s="450" t="s">
        <v>1322</v>
      </c>
      <c r="B160" s="451" t="s">
        <v>1323</v>
      </c>
      <c r="C160" s="453" t="s">
        <v>1324</v>
      </c>
      <c r="D160" s="106"/>
      <c r="E160" s="429">
        <v>46162</v>
      </c>
      <c r="G160" s="32" t="s">
        <v>910</v>
      </c>
      <c r="H160" s="44"/>
      <c r="I160" s="450"/>
      <c r="J160" s="450"/>
      <c r="K160" s="450"/>
      <c r="L160" s="450"/>
      <c r="N160" s="327" t="s">
        <v>1325</v>
      </c>
      <c r="O160" s="57">
        <v>339</v>
      </c>
      <c r="P160" s="57">
        <v>10</v>
      </c>
      <c r="Q160" s="44"/>
      <c r="R160" s="44"/>
      <c r="U160" s="44"/>
      <c r="V160" s="44"/>
    </row>
    <row r="161" spans="1:22" ht="13">
      <c r="A161" s="447" t="s">
        <v>1326</v>
      </c>
      <c r="B161" s="448" t="s">
        <v>1327</v>
      </c>
      <c r="C161" s="449" t="s">
        <v>1328</v>
      </c>
      <c r="D161" s="41"/>
      <c r="E161" s="437"/>
      <c r="G161" s="32" t="s">
        <v>910</v>
      </c>
      <c r="H161" s="44" t="str">
        <f ca="1">IFERROR(__xludf.DUMMYFUNCTION("IFERROR(VLOOKUP(TRIM(N161), IMPORTRANGE(""1FiGIDbWXbrw3ESuMmD14r8eot08bsJofQ75uiKf4zAA"", ""23yearsold 1차!B:D""), 3, FALSE), """")"),"")</f>
        <v/>
      </c>
      <c r="I161" s="447"/>
      <c r="J161" s="447"/>
      <c r="K161" s="447"/>
      <c r="L161" s="447"/>
      <c r="N161" s="44" t="str">
        <f ca="1">IFERROR(__xludf.DUMMYFUNCTION("IFERROR(VLOOKUP(TRIM(O161), IMPORTRANGE(""1FiGIDbWXbrw3ESuMmD14r8eot08bsJofQ75uiKf4zAA"", ""23yearsold 1차!B:C""), 2, FALSE), """")"),"")</f>
        <v/>
      </c>
      <c r="O161" s="44"/>
      <c r="P161" s="44"/>
      <c r="Q161" s="44"/>
      <c r="R161" s="44"/>
      <c r="U161" s="44"/>
      <c r="V161" s="44" t="str">
        <f ca="1">IFERROR(__xludf.DUMMYFUNCTION("IFERROR(VLOOKUP(TRIM(N161), IMPORTRANGE(""1FiGIDbWXbrw3ESuMmD14r8eot08bsJofQ75uiKf4zAA"", ""23yearsold 1차!B:F""), 5, FALSE), """")"),"")</f>
        <v/>
      </c>
    </row>
    <row r="162" spans="1:22" ht="13">
      <c r="A162" s="450" t="s">
        <v>1329</v>
      </c>
      <c r="B162" s="451" t="s">
        <v>1330</v>
      </c>
      <c r="C162" s="453" t="s">
        <v>1331</v>
      </c>
      <c r="D162" s="106"/>
      <c r="E162" s="429">
        <v>46166</v>
      </c>
      <c r="G162" s="32" t="s">
        <v>910</v>
      </c>
      <c r="H162" s="44"/>
      <c r="I162" s="450"/>
      <c r="J162" s="450"/>
      <c r="K162" s="450"/>
      <c r="L162" s="450"/>
      <c r="N162" s="327" t="s">
        <v>1332</v>
      </c>
      <c r="O162" s="435">
        <v>262</v>
      </c>
      <c r="P162" s="435">
        <v>9</v>
      </c>
      <c r="Q162" s="44"/>
      <c r="R162" s="44"/>
      <c r="U162" s="44"/>
      <c r="V162" s="44"/>
    </row>
    <row r="163" spans="1:22" ht="13">
      <c r="A163" s="447" t="s">
        <v>1333</v>
      </c>
      <c r="B163" s="448" t="s">
        <v>1334</v>
      </c>
      <c r="C163" s="449" t="s">
        <v>1335</v>
      </c>
      <c r="D163" s="41"/>
      <c r="E163" s="437"/>
      <c r="G163" s="32" t="s">
        <v>910</v>
      </c>
      <c r="H163" s="44" t="str">
        <f ca="1">IFERROR(__xludf.DUMMYFUNCTION("IFERROR(VLOOKUP(TRIM(N163), IMPORTRANGE(""1FiGIDbWXbrw3ESuMmD14r8eot08bsJofQ75uiKf4zAA"", ""23yearsold 1차!B:D""), 3, FALSE), """")"),"")</f>
        <v/>
      </c>
      <c r="I163" s="447"/>
      <c r="J163" s="447"/>
      <c r="K163" s="447"/>
      <c r="L163" s="447"/>
      <c r="N163" s="44" t="str">
        <f ca="1">IFERROR(__xludf.DUMMYFUNCTION("IFERROR(VLOOKUP(TRIM(O163), IMPORTRANGE(""1FiGIDbWXbrw3ESuMmD14r8eot08bsJofQ75uiKf4zAA"", ""23yearsold 1차!B:C""), 2, FALSE), """")"),"")</f>
        <v/>
      </c>
      <c r="O163" s="44"/>
      <c r="P163" s="44"/>
      <c r="Q163" s="44"/>
      <c r="R163" s="44"/>
      <c r="U163" s="44"/>
      <c r="V163" s="44" t="str">
        <f ca="1">IFERROR(__xludf.DUMMYFUNCTION("IFERROR(VLOOKUP(TRIM(N163), IMPORTRANGE(""1FiGIDbWXbrw3ESuMmD14r8eot08bsJofQ75uiKf4zAA"", ""23yearsold 1차!B:F""), 5, FALSE), """")"),"")</f>
        <v/>
      </c>
    </row>
    <row r="164" spans="1:22" ht="13">
      <c r="A164" s="447" t="s">
        <v>1336</v>
      </c>
      <c r="B164" s="448" t="s">
        <v>1337</v>
      </c>
      <c r="C164" s="41"/>
      <c r="D164" s="449" t="s">
        <v>1338</v>
      </c>
      <c r="E164" s="429">
        <v>46162</v>
      </c>
      <c r="G164" s="32" t="s">
        <v>910</v>
      </c>
      <c r="H164" s="44"/>
      <c r="I164" s="447"/>
      <c r="J164" s="447"/>
      <c r="K164" s="447"/>
      <c r="L164" s="447"/>
      <c r="N164" s="327" t="s">
        <v>1339</v>
      </c>
      <c r="O164" s="435">
        <v>315</v>
      </c>
      <c r="P164" s="435">
        <v>33</v>
      </c>
      <c r="Q164" s="44"/>
      <c r="R164" s="44"/>
      <c r="U164" s="44"/>
      <c r="V164" s="44"/>
    </row>
    <row r="165" spans="1:22" ht="13">
      <c r="A165" s="447" t="s">
        <v>1340</v>
      </c>
      <c r="B165" s="448" t="s">
        <v>1341</v>
      </c>
      <c r="C165" s="449" t="s">
        <v>1342</v>
      </c>
      <c r="D165" s="41"/>
      <c r="E165" s="429">
        <v>6686271</v>
      </c>
      <c r="G165" s="32" t="s">
        <v>910</v>
      </c>
      <c r="H165" s="327" t="s">
        <v>1343</v>
      </c>
      <c r="I165" s="57">
        <v>738</v>
      </c>
      <c r="J165" s="57">
        <v>129</v>
      </c>
      <c r="K165" s="57">
        <v>23</v>
      </c>
      <c r="L165" s="57">
        <v>3</v>
      </c>
      <c r="N165" s="44"/>
      <c r="V165" s="44"/>
    </row>
    <row r="166" spans="1:22" ht="13">
      <c r="A166" s="459" t="s">
        <v>1344</v>
      </c>
      <c r="B166" s="460" t="s">
        <v>1345</v>
      </c>
      <c r="C166" s="36"/>
      <c r="D166" s="36"/>
      <c r="E166" s="429">
        <v>46177</v>
      </c>
      <c r="G166" s="32" t="s">
        <v>910</v>
      </c>
      <c r="H166" s="137" t="s">
        <v>1346</v>
      </c>
      <c r="I166" s="57">
        <v>74</v>
      </c>
      <c r="J166" s="44"/>
      <c r="K166" s="57">
        <v>1</v>
      </c>
      <c r="L166" s="44"/>
      <c r="N166" s="44" t="str">
        <f ca="1">IFERROR(__xludf.DUMMYFUNCTION("IFERROR(VLOOKUP(TRIM(I166), IMPORTRANGE(""1FiGIDbWXbrw3ESuMmD14r8eot08bsJofQ75uiKf4zAA"", ""23yearsold 1차!B:C""), 2, FALSE), """")"),"")</f>
        <v/>
      </c>
      <c r="U166" s="44" t="str">
        <f ca="1">IFERROR(__xludf.DUMMYFUNCTION("IFERROR(VLOOKUP(TRIM(N166), IMPORTRANGE(""1FiGIDbWXbrw3ESuMmD14r8eot08bsJofQ75uiKf4zAA"", ""23yearsold 1차!B:E""), 2, FALSE), """")"),"")</f>
        <v/>
      </c>
      <c r="V166" s="44" t="str">
        <f ca="1">IFERROR(__xludf.DUMMYFUNCTION("IFERROR(VLOOKUP(TRIM(N166), IMPORTRANGE(""1FiGIDbWXbrw3ESuMmD14r8eot08bsJofQ75uiKf4zAA"", ""23yearsold 1차!B:F""), 5, FALSE), """")"),"")</f>
        <v/>
      </c>
    </row>
    <row r="167" spans="1:22" ht="13">
      <c r="A167" s="447" t="s">
        <v>1347</v>
      </c>
      <c r="B167" s="448" t="s">
        <v>1348</v>
      </c>
      <c r="C167" s="449" t="s">
        <v>1349</v>
      </c>
      <c r="D167" s="41"/>
      <c r="E167" s="437"/>
      <c r="G167" s="32" t="s">
        <v>910</v>
      </c>
      <c r="H167" s="44" t="str">
        <f ca="1">IFERROR(__xludf.DUMMYFUNCTION("IFERROR(VLOOKUP(TRIM(N167), IMPORTRANGE(""1FiGIDbWXbrw3ESuMmD14r8eot08bsJofQ75uiKf4zAA"", ""23yearsold 1차!B:D""), 2, FALSE), """")"),"")</f>
        <v/>
      </c>
      <c r="I167" s="44"/>
      <c r="J167" s="44"/>
      <c r="K167" s="44"/>
      <c r="L167" s="44"/>
      <c r="N167" s="44" t="str">
        <f ca="1">IFERROR(__xludf.DUMMYFUNCTION("IFERROR(VLOOKUP(TRIM(I167), IMPORTRANGE(""1FiGIDbWXbrw3ESuMmD14r8eot08bsJofQ75uiKf4zAA"", ""23yearsold 1차!B:C""), 2, FALSE), """")"),"")</f>
        <v/>
      </c>
      <c r="U167" s="44" t="str">
        <f ca="1">IFERROR(__xludf.DUMMYFUNCTION("IFERROR(VLOOKUP(TRIM(N167), IMPORTRANGE(""1FiGIDbWXbrw3ESuMmD14r8eot08bsJofQ75uiKf4zAA"", ""23yearsold 1차!B:E""), 2, FALSE), """")"),"")</f>
        <v/>
      </c>
      <c r="V167" s="44" t="str">
        <f ca="1">IFERROR(__xludf.DUMMYFUNCTION("IFERROR(VLOOKUP(TRIM(N167), IMPORTRANGE(""1FiGIDbWXbrw3ESuMmD14r8eot08bsJofQ75uiKf4zAA"", ""23yearsold 1차!B:F""), 5, FALSE), """")"),"")</f>
        <v/>
      </c>
    </row>
    <row r="168" spans="1:22" ht="13">
      <c r="A168" s="450" t="s">
        <v>1350</v>
      </c>
      <c r="B168" s="451" t="s">
        <v>1351</v>
      </c>
      <c r="C168" s="106"/>
      <c r="D168" s="106"/>
      <c r="E168" s="429">
        <v>46161</v>
      </c>
      <c r="G168" s="32" t="s">
        <v>910</v>
      </c>
      <c r="H168" s="327" t="s">
        <v>1352</v>
      </c>
      <c r="I168" s="57">
        <v>664</v>
      </c>
      <c r="J168" s="57">
        <v>99</v>
      </c>
      <c r="K168" s="57">
        <v>15</v>
      </c>
      <c r="L168" s="57">
        <v>3</v>
      </c>
      <c r="N168" s="44"/>
      <c r="V168" s="44"/>
    </row>
    <row r="169" spans="1:22" ht="13">
      <c r="A169" s="447" t="s">
        <v>1353</v>
      </c>
      <c r="B169" s="448" t="s">
        <v>1354</v>
      </c>
      <c r="C169" s="41"/>
      <c r="D169" s="41"/>
      <c r="E169" s="429">
        <v>46171</v>
      </c>
      <c r="G169" s="32" t="s">
        <v>910</v>
      </c>
      <c r="H169" s="327" t="s">
        <v>1355</v>
      </c>
      <c r="I169" s="57">
        <v>829</v>
      </c>
      <c r="J169" s="57">
        <v>58</v>
      </c>
      <c r="K169" s="44"/>
      <c r="L169" s="44"/>
      <c r="N169" s="44" t="s">
        <v>917</v>
      </c>
      <c r="U169" s="44" t="s">
        <v>917</v>
      </c>
      <c r="V169" s="44" t="s">
        <v>917</v>
      </c>
    </row>
    <row r="170" spans="1:22" ht="13">
      <c r="A170" s="450" t="s">
        <v>1356</v>
      </c>
      <c r="B170" s="451" t="s">
        <v>1357</v>
      </c>
      <c r="C170" s="453" t="s">
        <v>1358</v>
      </c>
      <c r="D170" s="453" t="s">
        <v>1319</v>
      </c>
      <c r="E170" s="461"/>
      <c r="G170" s="32" t="s">
        <v>910</v>
      </c>
      <c r="H170" s="450"/>
      <c r="I170" s="450"/>
      <c r="J170" s="450"/>
      <c r="K170" s="450"/>
      <c r="L170" s="450"/>
      <c r="N170" s="44" t="str">
        <f ca="1">IFERROR(__xludf.DUMMYFUNCTION("IFERROR(VLOOKUP(TRIM(O170), IMPORTRANGE(""1FiGIDbWXbrw3ESuMmD14r8eot08bsJofQ75uiKf4zAA"", ""23yearsold 1차!B:C""), 2, FALSE), """")"),"")</f>
        <v/>
      </c>
      <c r="O170" s="44"/>
      <c r="P170" s="44"/>
      <c r="Q170" s="44"/>
      <c r="R170" s="44"/>
      <c r="T170" s="44" t="str">
        <f ca="1">IFERROR(__xludf.DUMMYFUNCTION("IFERROR(VLOOKUP(TRIM(N170), IMPORTRANGE(""1FiGIDbWXbrw3ESuMmD14r8eot08bsJofQ75uiKf4zAA"", ""23yearsold 1차!B:D""), 3, FALSE), """")"),"")</f>
        <v/>
      </c>
      <c r="U170" s="44"/>
      <c r="V170" s="44" t="str">
        <f ca="1">IFERROR(__xludf.DUMMYFUNCTION("IFERROR(VLOOKUP(TRIM(N170), IMPORTRANGE(""1FiGIDbWXbrw3ESuMmD14r8eot08bsJofQ75uiKf4zAA"", ""23yearsold 1차!B:F""), 5, FALSE), """")"),"")</f>
        <v/>
      </c>
    </row>
    <row r="171" spans="1:22" ht="13">
      <c r="A171" s="462" t="s">
        <v>1359</v>
      </c>
      <c r="B171" s="463">
        <v>9090265609</v>
      </c>
      <c r="C171" s="449" t="s">
        <v>1360</v>
      </c>
      <c r="D171" s="41"/>
      <c r="E171" s="437"/>
      <c r="G171" s="32" t="s">
        <v>910</v>
      </c>
      <c r="H171" s="447"/>
      <c r="I171" s="447"/>
      <c r="J171" s="447"/>
      <c r="K171" s="447"/>
      <c r="L171" s="447"/>
      <c r="N171" s="44" t="str">
        <f ca="1">IFERROR(__xludf.DUMMYFUNCTION("IFERROR(VLOOKUP(TRIM(O171), IMPORTRANGE(""1FiGIDbWXbrw3ESuMmD14r8eot08bsJofQ75uiKf4zAA"", ""23yearsold 1차!B:C""), 2, FALSE), """")"),"")</f>
        <v/>
      </c>
      <c r="O171" s="44"/>
      <c r="P171" s="44"/>
      <c r="Q171" s="44"/>
      <c r="R171" s="44"/>
      <c r="T171" s="44" t="str">
        <f ca="1">IFERROR(__xludf.DUMMYFUNCTION("IFERROR(VLOOKUP(TRIM(N171), IMPORTRANGE(""1FiGIDbWXbrw3ESuMmD14r8eot08bsJofQ75uiKf4zAA"", ""23yearsold 1차!B:D""), 3, FALSE), """")"),"")</f>
        <v/>
      </c>
      <c r="U171" s="44"/>
      <c r="V171" s="44" t="str">
        <f ca="1">IFERROR(__xludf.DUMMYFUNCTION("IFERROR(VLOOKUP(TRIM(N171), IMPORTRANGE(""1FiGIDbWXbrw3ESuMmD14r8eot08bsJofQ75uiKf4zAA"", ""23yearsold 1차!B:F""), 5, FALSE), """")"),"")</f>
        <v/>
      </c>
    </row>
    <row r="172" spans="1:22" ht="13">
      <c r="A172" s="464" t="s">
        <v>1361</v>
      </c>
      <c r="B172" s="465">
        <v>9040701355</v>
      </c>
      <c r="C172" s="453" t="s">
        <v>1362</v>
      </c>
      <c r="D172" s="106"/>
      <c r="E172" s="429">
        <v>45987</v>
      </c>
      <c r="G172" s="32" t="s">
        <v>910</v>
      </c>
      <c r="H172" s="450"/>
      <c r="I172" s="450"/>
      <c r="J172" s="450"/>
      <c r="K172" s="450"/>
      <c r="L172" s="450"/>
      <c r="N172" s="327" t="s">
        <v>1363</v>
      </c>
      <c r="O172" s="57">
        <v>3312</v>
      </c>
      <c r="P172" s="57">
        <v>10</v>
      </c>
      <c r="Q172" s="57">
        <v>0</v>
      </c>
      <c r="R172" s="44"/>
      <c r="T172" s="44"/>
      <c r="U172" s="44"/>
      <c r="V172" s="44"/>
    </row>
    <row r="173" spans="1:22" ht="14">
      <c r="A173" s="466" t="s">
        <v>1364</v>
      </c>
      <c r="B173" s="466" t="s">
        <v>1365</v>
      </c>
      <c r="C173" s="41"/>
      <c r="D173" s="467" t="s">
        <v>1366</v>
      </c>
      <c r="E173" s="468"/>
      <c r="G173" s="32" t="s">
        <v>910</v>
      </c>
      <c r="H173" s="447"/>
      <c r="I173" s="447"/>
      <c r="J173" s="447"/>
      <c r="K173" s="447"/>
      <c r="L173" s="447"/>
      <c r="N173" s="106" t="str">
        <f ca="1">IFERROR(__xludf.DUMMYFUNCTION("IFERROR(VLOOKUP(TRIM(O173), IMPORTRANGE(""1FiGIDbWXbrw3ESuMmD14r8eot08bsJofQ75uiKf4zAA"", ""23yearsold 1차!B:C""), 2, FALSE), """")"),"")</f>
        <v/>
      </c>
      <c r="O173" s="106"/>
      <c r="P173" s="106"/>
      <c r="Q173" s="106"/>
      <c r="R173" s="106"/>
      <c r="T173" s="106" t="str">
        <f ca="1">IFERROR(__xludf.DUMMYFUNCTION("IFERROR(VLOOKUP(TRIM(N173), IMPORTRANGE(""1FiGIDbWXbrw3ESuMmD14r8eot08bsJofQ75uiKf4zAA"", ""23yearsold 1차!B:D""), 3, FALSE), """")"),"")</f>
        <v/>
      </c>
      <c r="U173" s="106"/>
      <c r="V173" s="106" t="str">
        <f ca="1">IFERROR(__xludf.DUMMYFUNCTION("IFERROR(VLOOKUP(TRIM(N173), IMPORTRANGE(""1FiGIDbWXbrw3ESuMmD14r8eot08bsJofQ75uiKf4zAA"", ""23yearsold 1차!B:F""), 5, FALSE), """")"),"")</f>
        <v/>
      </c>
    </row>
    <row r="174" spans="1:22" ht="14">
      <c r="A174" s="469" t="s">
        <v>1367</v>
      </c>
      <c r="B174" s="469" t="s">
        <v>1368</v>
      </c>
      <c r="C174" s="44"/>
      <c r="D174" s="428" t="s">
        <v>1369</v>
      </c>
      <c r="E174" s="437"/>
      <c r="G174" s="32" t="s">
        <v>910</v>
      </c>
      <c r="H174" s="44"/>
      <c r="N174" s="44" t="str">
        <f ca="1">IFERROR(__xludf.DUMMYFUNCTION("IFERROR(VLOOKUP(TRIM(O174), IMPORTRANGE(""1FiGIDbWXbrw3ESuMmD14r8eot08bsJofQ75uiKf4zAA"", ""23yearsold 1차!B:C""), 2, FALSE), """")"),"")</f>
        <v/>
      </c>
      <c r="O174" s="44"/>
      <c r="P174" s="44"/>
      <c r="Q174" s="44"/>
      <c r="R174" s="44"/>
      <c r="T174" s="44" t="str">
        <f ca="1">IFERROR(__xludf.DUMMYFUNCTION("IFERROR(VLOOKUP(TRIM(N174), IMPORTRANGE(""1FiGIDbWXbrw3ESuMmD14r8eot08bsJofQ75uiKf4zAA"", ""23yearsold 1차!B:D""), 3, FALSE), """")"),"")</f>
        <v/>
      </c>
      <c r="U174" s="44"/>
      <c r="V174" s="44" t="str">
        <f ca="1">IFERROR(__xludf.DUMMYFUNCTION("IFERROR(VLOOKUP(TRIM(N174), IMPORTRANGE(""1FiGIDbWXbrw3ESuMmD14r8eot08bsJofQ75uiKf4zAA"", ""23yearsold 1차!B:F""), 5, FALSE), """")"),"")</f>
        <v/>
      </c>
    </row>
    <row r="175" spans="1:22" ht="14">
      <c r="A175" s="469" t="s">
        <v>1370</v>
      </c>
      <c r="B175" s="469" t="s">
        <v>1371</v>
      </c>
      <c r="C175" s="44"/>
      <c r="D175" s="428" t="s">
        <v>1372</v>
      </c>
      <c r="E175" s="437"/>
      <c r="G175" s="32" t="s">
        <v>910</v>
      </c>
      <c r="H175" s="44"/>
      <c r="N175" s="44" t="str">
        <f ca="1">IFERROR(__xludf.DUMMYFUNCTION("IFERROR(VLOOKUP(TRIM(O175), IMPORTRANGE(""1FiGIDbWXbrw3ESuMmD14r8eot08bsJofQ75uiKf4zAA"", ""23yearsold 1차!B:C""), 2, FALSE), """")"),"")</f>
        <v/>
      </c>
      <c r="O175" s="44"/>
      <c r="P175" s="44"/>
      <c r="Q175" s="45"/>
      <c r="R175" s="45"/>
      <c r="T175" s="44" t="str">
        <f ca="1">IFERROR(__xludf.DUMMYFUNCTION("IFERROR(VLOOKUP(TRIM(N175), IMPORTRANGE(""1FiGIDbWXbrw3ESuMmD14r8eot08bsJofQ75uiKf4zAA"", ""23yearsold 1차!B:D""), 3, FALSE), """")"),"")</f>
        <v/>
      </c>
      <c r="U175" s="44"/>
      <c r="V175" s="44" t="str">
        <f ca="1">IFERROR(__xludf.DUMMYFUNCTION("IFERROR(VLOOKUP(TRIM(N175), IMPORTRANGE(""1FiGIDbWXbrw3ESuMmD14r8eot08bsJofQ75uiKf4zAA"", ""23yearsold 1차!B:F""), 5, FALSE), """")"),"")</f>
        <v/>
      </c>
    </row>
    <row r="176" spans="1:22" ht="14">
      <c r="A176" s="470" t="s">
        <v>1373</v>
      </c>
      <c r="B176" s="470" t="s">
        <v>1374</v>
      </c>
      <c r="C176" s="113"/>
      <c r="D176" s="471" t="s">
        <v>1375</v>
      </c>
      <c r="E176" s="437"/>
      <c r="G176" s="32" t="s">
        <v>910</v>
      </c>
      <c r="H176" s="44"/>
      <c r="N176" s="44" t="str">
        <f ca="1">IFERROR(__xludf.DUMMYFUNCTION("IFERROR(VLOOKUP(TRIM(O176), IMPORTRANGE(""1FiGIDbWXbrw3ESuMmD14r8eot08bsJofQ75uiKf4zAA"", ""23yearsold 1차!B:C""), 2, FALSE), """")"),"")</f>
        <v/>
      </c>
      <c r="O176" s="44"/>
      <c r="P176" s="44"/>
      <c r="Q176" s="44"/>
      <c r="R176" s="44"/>
      <c r="T176" s="44" t="str">
        <f ca="1">IFERROR(__xludf.DUMMYFUNCTION("IFERROR(VLOOKUP(TRIM(N176), IMPORTRANGE(""1FiGIDbWXbrw3ESuMmD14r8eot08bsJofQ75uiKf4zAA"", ""23yearsold 1차!B:D""), 3, FALSE), """")"),"")</f>
        <v/>
      </c>
      <c r="U176" s="44"/>
      <c r="V176" s="44" t="str">
        <f ca="1">IFERROR(__xludf.DUMMYFUNCTION("IFERROR(VLOOKUP(TRIM(N176), IMPORTRANGE(""1FiGIDbWXbrw3ESuMmD14r8eot08bsJofQ75uiKf4zAA"", ""23yearsold 1차!B:F""), 5, FALSE), """")"),"")</f>
        <v/>
      </c>
    </row>
    <row r="177" spans="1:22" ht="14">
      <c r="A177" s="469" t="s">
        <v>1376</v>
      </c>
      <c r="B177" s="469" t="s">
        <v>1377</v>
      </c>
      <c r="C177" s="44"/>
      <c r="D177" s="428" t="s">
        <v>1378</v>
      </c>
      <c r="E177" s="437"/>
      <c r="G177" s="32" t="s">
        <v>910</v>
      </c>
      <c r="H177" s="44"/>
      <c r="N177" s="44" t="str">
        <f ca="1">IFERROR(__xludf.DUMMYFUNCTION("IFERROR(VLOOKUP(TRIM(O177), IMPORTRANGE(""1FiGIDbWXbrw3ESuMmD14r8eot08bsJofQ75uiKf4zAA"", ""23yearsold 1차!B:C""), 2, FALSE), """")"),"")</f>
        <v/>
      </c>
      <c r="O177" s="44"/>
      <c r="P177" s="44"/>
      <c r="Q177" s="45"/>
      <c r="R177" s="45"/>
      <c r="T177" s="44" t="str">
        <f ca="1">IFERROR(__xludf.DUMMYFUNCTION("IFERROR(VLOOKUP(TRIM(N177), IMPORTRANGE(""1FiGIDbWXbrw3ESuMmD14r8eot08bsJofQ75uiKf4zAA"", ""23yearsold 1차!B:D""), 3, FALSE), """")"),"")</f>
        <v/>
      </c>
      <c r="U177" s="44"/>
      <c r="V177" s="44" t="str">
        <f ca="1">IFERROR(__xludf.DUMMYFUNCTION("IFERROR(VLOOKUP(TRIM(N177), IMPORTRANGE(""1FiGIDbWXbrw3ESuMmD14r8eot08bsJofQ75uiKf4zAA"", ""23yearsold 1차!B:F""), 5, FALSE), """")"),"")</f>
        <v/>
      </c>
    </row>
    <row r="178" spans="1:22" ht="14">
      <c r="A178" s="469" t="s">
        <v>1379</v>
      </c>
      <c r="B178" s="469" t="s">
        <v>1380</v>
      </c>
      <c r="C178" s="44"/>
      <c r="D178" s="428" t="s">
        <v>1381</v>
      </c>
      <c r="E178" s="437"/>
      <c r="G178" s="32" t="s">
        <v>910</v>
      </c>
      <c r="H178" s="44"/>
      <c r="N178" s="44" t="str">
        <f ca="1">IFERROR(__xludf.DUMMYFUNCTION("IFERROR(VLOOKUP(TRIM(O178), IMPORTRANGE(""1FiGIDbWXbrw3ESuMmD14r8eot08bsJofQ75uiKf4zAA"", ""23yearsold 1차!B:C""), 2, FALSE), """")"),"")</f>
        <v/>
      </c>
      <c r="O178" s="44"/>
      <c r="P178" s="44"/>
      <c r="Q178" s="45"/>
      <c r="R178" s="45"/>
      <c r="T178" s="44" t="str">
        <f ca="1">IFERROR(__xludf.DUMMYFUNCTION("IFERROR(VLOOKUP(TRIM(N178), IMPORTRANGE(""1FiGIDbWXbrw3ESuMmD14r8eot08bsJofQ75uiKf4zAA"", ""23yearsold 1차!B:D""), 3, FALSE), """")"),"")</f>
        <v/>
      </c>
      <c r="U178" s="44"/>
      <c r="V178" s="44" t="str">
        <f ca="1">IFERROR(__xludf.DUMMYFUNCTION("IFERROR(VLOOKUP(TRIM(N178), IMPORTRANGE(""1FiGIDbWXbrw3ESuMmD14r8eot08bsJofQ75uiKf4zAA"", ""23yearsold 1차!B:F""), 5, FALSE), """")"),"")</f>
        <v/>
      </c>
    </row>
    <row r="179" spans="1:22" ht="13">
      <c r="A179" s="32" t="s">
        <v>1382</v>
      </c>
      <c r="B179" s="57" t="s">
        <v>1383</v>
      </c>
      <c r="C179" s="44"/>
      <c r="D179" s="44"/>
      <c r="E179" s="437"/>
      <c r="G179" s="32" t="s">
        <v>910</v>
      </c>
      <c r="H179" s="44"/>
      <c r="N179" s="44" t="str">
        <f ca="1">IFERROR(__xludf.DUMMYFUNCTION("IFERROR(VLOOKUP(TRIM(O179), IMPORTRANGE(""1FiGIDbWXbrw3ESuMmD14r8eot08bsJofQ75uiKf4zAA"", ""23yearsold 1차!B:C""), 2, FALSE), """")"),"")</f>
        <v/>
      </c>
      <c r="O179" s="44"/>
      <c r="P179" s="44"/>
      <c r="Q179" s="44"/>
      <c r="R179" s="45"/>
      <c r="T179" s="44" t="str">
        <f ca="1">IFERROR(__xludf.DUMMYFUNCTION("IFERROR(VLOOKUP(TRIM(N179), IMPORTRANGE(""1FiGIDbWXbrw3ESuMmD14r8eot08bsJofQ75uiKf4zAA"", ""23yearsold 1차!B:D""), 3, FALSE), """")"),"")</f>
        <v/>
      </c>
      <c r="U179" s="44"/>
      <c r="V179" s="44" t="str">
        <f ca="1">IFERROR(__xludf.DUMMYFUNCTION("IFERROR(VLOOKUP(TRIM(N179), IMPORTRANGE(""1FiGIDbWXbrw3ESuMmD14r8eot08bsJofQ75uiKf4zAA"", ""23yearsold 1차!B:F""), 5, FALSE), """")"),"")</f>
        <v/>
      </c>
    </row>
    <row r="180" spans="1:22" ht="13">
      <c r="A180" s="32" t="s">
        <v>1384</v>
      </c>
      <c r="B180" s="57" t="s">
        <v>1385</v>
      </c>
      <c r="C180" s="44"/>
      <c r="D180" s="428" t="s">
        <v>1386</v>
      </c>
      <c r="E180" s="429">
        <v>46163</v>
      </c>
      <c r="G180" s="32" t="s">
        <v>910</v>
      </c>
      <c r="H180" s="44"/>
      <c r="N180" s="327" t="s">
        <v>1387</v>
      </c>
      <c r="O180" s="436"/>
      <c r="P180" s="435" t="s">
        <v>1388</v>
      </c>
      <c r="Q180" s="44"/>
      <c r="R180" s="44"/>
      <c r="T180" s="44"/>
      <c r="U180" s="44"/>
      <c r="V180" s="44"/>
    </row>
    <row r="181" spans="1:22" ht="13">
      <c r="A181" s="32" t="s">
        <v>1389</v>
      </c>
      <c r="B181" s="57" t="s">
        <v>1390</v>
      </c>
      <c r="C181" s="44"/>
      <c r="D181" s="428" t="s">
        <v>1391</v>
      </c>
      <c r="E181" s="437"/>
      <c r="G181" s="32" t="s">
        <v>910</v>
      </c>
      <c r="H181" s="44"/>
      <c r="N181" s="44" t="str">
        <f ca="1">IFERROR(__xludf.DUMMYFUNCTION("IFERROR(VLOOKUP(TRIM(O181), IMPORTRANGE(""1FiGIDbWXbrw3ESuMmD14r8eot08bsJofQ75uiKf4zAA"", ""23yearsold 1차!B:C""), 2, FALSE), """")"),"")</f>
        <v/>
      </c>
      <c r="O181" s="44"/>
      <c r="P181" s="44"/>
      <c r="Q181" s="44"/>
      <c r="R181" s="44"/>
      <c r="T181" s="44" t="str">
        <f ca="1">IFERROR(__xludf.DUMMYFUNCTION("IFERROR(VLOOKUP(TRIM(N181), IMPORTRANGE(""1FiGIDbWXbrw3ESuMmD14r8eot08bsJofQ75uiKf4zAA"", ""23yearsold 1차!B:D""), 3, FALSE), """")"),"")</f>
        <v/>
      </c>
      <c r="U181" s="44"/>
      <c r="V181" s="44" t="str">
        <f ca="1">IFERROR(__xludf.DUMMYFUNCTION("IFERROR(VLOOKUP(TRIM(N181), IMPORTRANGE(""1FiGIDbWXbrw3ESuMmD14r8eot08bsJofQ75uiKf4zAA"", ""23yearsold 1차!B:F""), 5, FALSE), """")"),"")</f>
        <v/>
      </c>
    </row>
    <row r="182" spans="1:22" ht="13">
      <c r="A182" s="447" t="s">
        <v>1392</v>
      </c>
      <c r="B182" s="448" t="s">
        <v>1393</v>
      </c>
      <c r="C182" s="41"/>
      <c r="D182" s="41"/>
      <c r="E182" s="432">
        <v>46163</v>
      </c>
      <c r="G182" s="32" t="s">
        <v>910</v>
      </c>
      <c r="H182" s="325" t="s">
        <v>1394</v>
      </c>
      <c r="I182" s="32"/>
      <c r="N182" s="41"/>
      <c r="O182" s="90">
        <v>696</v>
      </c>
      <c r="P182" s="90">
        <v>77</v>
      </c>
      <c r="Q182" s="41"/>
      <c r="R182" s="41"/>
      <c r="U182" s="41"/>
      <c r="V182" s="41"/>
    </row>
    <row r="183" spans="1:22" ht="13">
      <c r="A183" s="450" t="s">
        <v>1395</v>
      </c>
      <c r="B183" s="451" t="s">
        <v>1396</v>
      </c>
      <c r="C183" s="106"/>
      <c r="D183" s="106"/>
      <c r="E183" s="472">
        <v>46170</v>
      </c>
      <c r="G183" s="32" t="s">
        <v>910</v>
      </c>
      <c r="H183" s="473" t="s">
        <v>1397</v>
      </c>
      <c r="I183" s="32"/>
      <c r="N183" s="106"/>
      <c r="O183" s="194">
        <v>510</v>
      </c>
      <c r="P183" s="194">
        <v>31</v>
      </c>
      <c r="Q183" s="106"/>
      <c r="R183" s="106"/>
      <c r="U183" s="106"/>
      <c r="V183" s="316"/>
    </row>
    <row r="184" spans="1:22" ht="13">
      <c r="A184" s="447" t="s">
        <v>1398</v>
      </c>
      <c r="B184" s="452" t="s">
        <v>1399</v>
      </c>
      <c r="C184" s="41"/>
      <c r="D184" s="449" t="s">
        <v>1400</v>
      </c>
      <c r="E184" s="437"/>
      <c r="G184" s="32" t="s">
        <v>910</v>
      </c>
      <c r="H184" s="44" t="str">
        <f ca="1">IFERROR(__xludf.DUMMYFUNCTION("IFERROR(VLOOKUP(TRIM(N184), IMPORTRANGE(""1FiGIDbWXbrw3ESuMmD14r8eot08bsJofQ75uiKf4zAA"", ""23yearsold 1차!B:F""), 5, FALSE), """")"),"")</f>
        <v/>
      </c>
      <c r="I184" s="32"/>
      <c r="N184" s="44" t="str">
        <f ca="1">IFERROR(__xludf.DUMMYFUNCTION("IFERROR(VLOOKUP(TRIM(O184), IMPORTRANGE(""1FiGIDbWXbrw3ESuMmD14r8eot08bsJofQ75uiKf4zAA"", ""23yearsold 1차!B:C""), 2, FALSE), """")"),"")</f>
        <v/>
      </c>
      <c r="O184" s="44"/>
      <c r="P184" s="44"/>
      <c r="Q184" s="44"/>
      <c r="R184" s="44"/>
      <c r="U184" s="44"/>
    </row>
    <row r="185" spans="1:22" ht="13">
      <c r="A185" s="450" t="s">
        <v>1401</v>
      </c>
      <c r="B185" s="451">
        <v>818032439883</v>
      </c>
      <c r="C185" s="106"/>
      <c r="D185" s="453" t="s">
        <v>1402</v>
      </c>
      <c r="E185" s="437"/>
      <c r="G185" s="32" t="s">
        <v>910</v>
      </c>
      <c r="H185" s="44" t="str">
        <f ca="1">IFERROR(__xludf.DUMMYFUNCTION("IFERROR(VLOOKUP(TRIM(N185), IMPORTRANGE(""1FiGIDbWXbrw3ESuMmD14r8eot08bsJofQ75uiKf4zAA"", ""23yearsold 1차!B:F""), 5, FALSE), """")"),"")</f>
        <v/>
      </c>
      <c r="I185" s="32"/>
      <c r="N185" s="44" t="str">
        <f ca="1">IFERROR(__xludf.DUMMYFUNCTION("IFERROR(VLOOKUP(TRIM(O185), IMPORTRANGE(""1FiGIDbWXbrw3ESuMmD14r8eot08bsJofQ75uiKf4zAA"", ""23yearsold 1차!B:C""), 2, FALSE), """")"),"")</f>
        <v/>
      </c>
      <c r="O185" s="44"/>
      <c r="P185" s="44"/>
      <c r="Q185" s="44"/>
      <c r="R185" s="44"/>
      <c r="U185" s="44"/>
    </row>
    <row r="186" spans="1:22" ht="13">
      <c r="A186" s="447" t="s">
        <v>1403</v>
      </c>
      <c r="B186" s="448" t="s">
        <v>1404</v>
      </c>
      <c r="C186" s="41"/>
      <c r="D186" s="449" t="s">
        <v>1405</v>
      </c>
      <c r="E186" s="461"/>
      <c r="G186" s="32" t="s">
        <v>910</v>
      </c>
      <c r="H186" s="41" t="str">
        <f ca="1">IFERROR(__xludf.DUMMYFUNCTION("IFERROR(VLOOKUP(TRIM(N186), IMPORTRANGE(""1FiGIDbWXbrw3ESuMmD14r8eot08bsJofQ75uiKf4zAA"", ""23yearsold 1차!B:F""), 5, FALSE), """")"),"")</f>
        <v/>
      </c>
      <c r="I186" s="32"/>
      <c r="N186" s="41" t="str">
        <f ca="1">IFERROR(__xludf.DUMMYFUNCTION("IFERROR(VLOOKUP(TRIM(O186), IMPORTRANGE(""1FiGIDbWXbrw3ESuMmD14r8eot08bsJofQ75uiKf4zAA"", ""23yearsold 1차!B:C""), 2, FALSE), """")"),"")</f>
        <v/>
      </c>
      <c r="O186" s="41"/>
      <c r="P186" s="41"/>
      <c r="Q186" s="41"/>
      <c r="R186" s="41"/>
      <c r="U186" s="41"/>
    </row>
    <row r="187" spans="1:22" ht="13">
      <c r="A187" s="450" t="s">
        <v>1406</v>
      </c>
      <c r="B187" s="451" t="s">
        <v>1407</v>
      </c>
      <c r="C187" s="106"/>
      <c r="D187" s="453" t="s">
        <v>1408</v>
      </c>
      <c r="E187" s="468"/>
      <c r="G187" s="32" t="s">
        <v>910</v>
      </c>
      <c r="H187" s="106" t="str">
        <f ca="1">IFERROR(__xludf.DUMMYFUNCTION("IFERROR(VLOOKUP(TRIM(N187), IMPORTRANGE(""1FiGIDbWXbrw3ESuMmD14r8eot08bsJofQ75uiKf4zAA"", ""23yearsold 1차!B:F""), 5, FALSE), """")"),"")</f>
        <v/>
      </c>
      <c r="I187" s="32"/>
      <c r="N187" s="106" t="str">
        <f ca="1">IFERROR(__xludf.DUMMYFUNCTION("IFERROR(VLOOKUP(TRIM(O187), IMPORTRANGE(""1FiGIDbWXbrw3ESuMmD14r8eot08bsJofQ75uiKf4zAA"", ""23yearsold 1차!B:C""), 2, FALSE), """")"),"")</f>
        <v/>
      </c>
      <c r="O187" s="106"/>
      <c r="P187" s="106"/>
      <c r="Q187" s="106"/>
      <c r="R187" s="106"/>
      <c r="U187" s="106"/>
    </row>
    <row r="188" spans="1:22" ht="13">
      <c r="A188" s="447" t="s">
        <v>1409</v>
      </c>
      <c r="B188" s="448" t="s">
        <v>1410</v>
      </c>
      <c r="C188" s="41"/>
      <c r="D188" s="449" t="s">
        <v>1411</v>
      </c>
      <c r="E188" s="461"/>
      <c r="G188" s="32" t="s">
        <v>910</v>
      </c>
      <c r="H188" s="41" t="str">
        <f ca="1">IFERROR(__xludf.DUMMYFUNCTION("IFERROR(VLOOKUP(TRIM(N188), IMPORTRANGE(""1FiGIDbWXbrw3ESuMmD14r8eot08bsJofQ75uiKf4zAA"", ""23yearsold 1차!B:F""), 5, FALSE), """")"),"")</f>
        <v/>
      </c>
      <c r="I188" s="32"/>
      <c r="N188" s="41" t="str">
        <f ca="1">IFERROR(__xludf.DUMMYFUNCTION("IFERROR(VLOOKUP(TRIM(O188), IMPORTRANGE(""1FiGIDbWXbrw3ESuMmD14r8eot08bsJofQ75uiKf4zAA"", ""23yearsold 1차!B:C""), 2, FALSE), """")"),"")</f>
        <v/>
      </c>
      <c r="O188" s="41"/>
      <c r="P188" s="41"/>
      <c r="Q188" s="41"/>
      <c r="R188" s="41"/>
      <c r="U188" s="41"/>
    </row>
    <row r="189" spans="1:22" ht="13">
      <c r="A189" s="450" t="s">
        <v>1412</v>
      </c>
      <c r="B189" s="451" t="s">
        <v>1413</v>
      </c>
      <c r="C189" s="106"/>
      <c r="D189" s="453" t="s">
        <v>1414</v>
      </c>
      <c r="E189" s="472">
        <v>46164</v>
      </c>
      <c r="G189" s="32" t="s">
        <v>910</v>
      </c>
      <c r="H189" s="316" t="s">
        <v>1415</v>
      </c>
      <c r="I189" s="32"/>
      <c r="N189" s="316" t="s">
        <v>1416</v>
      </c>
      <c r="O189" s="474" t="s">
        <v>1417</v>
      </c>
      <c r="P189" s="474">
        <v>19</v>
      </c>
      <c r="Q189" s="106"/>
      <c r="R189" s="106"/>
      <c r="U189" s="106"/>
    </row>
    <row r="190" spans="1:22" ht="13">
      <c r="A190" s="447" t="s">
        <v>1418</v>
      </c>
      <c r="B190" s="448" t="s">
        <v>1419</v>
      </c>
      <c r="C190" s="41"/>
      <c r="D190" s="449" t="s">
        <v>1420</v>
      </c>
      <c r="E190" s="432">
        <v>46173</v>
      </c>
      <c r="G190" s="32" t="s">
        <v>910</v>
      </c>
      <c r="H190" s="325" t="s">
        <v>1421</v>
      </c>
      <c r="I190" s="32"/>
      <c r="N190" s="325" t="s">
        <v>1422</v>
      </c>
      <c r="O190" s="90">
        <v>201</v>
      </c>
      <c r="P190" s="90">
        <v>24</v>
      </c>
      <c r="Q190" s="90">
        <v>6</v>
      </c>
      <c r="R190" s="41"/>
      <c r="U190" s="41"/>
    </row>
    <row r="191" spans="1:22" ht="13">
      <c r="A191" s="450" t="s">
        <v>1423</v>
      </c>
      <c r="B191" s="451" t="s">
        <v>1424</v>
      </c>
      <c r="C191" s="106"/>
      <c r="D191" s="453" t="s">
        <v>1425</v>
      </c>
      <c r="E191" s="472">
        <v>46166</v>
      </c>
      <c r="G191" s="32" t="s">
        <v>910</v>
      </c>
      <c r="H191" s="32"/>
      <c r="I191" s="32"/>
      <c r="N191" s="316" t="s">
        <v>1426</v>
      </c>
      <c r="O191" s="475"/>
      <c r="P191" s="475"/>
      <c r="Q191" s="106"/>
      <c r="R191" s="106"/>
      <c r="T191" s="106"/>
      <c r="U191" s="106"/>
      <c r="V191" s="106"/>
    </row>
    <row r="192" spans="1:22" ht="13">
      <c r="A192" s="447" t="s">
        <v>1427</v>
      </c>
      <c r="B192" s="448" t="s">
        <v>1428</v>
      </c>
      <c r="C192" s="41"/>
      <c r="D192" s="449" t="s">
        <v>1429</v>
      </c>
      <c r="E192" s="432">
        <v>46176</v>
      </c>
      <c r="G192" s="32" t="s">
        <v>910</v>
      </c>
      <c r="H192" s="32"/>
      <c r="I192" s="32"/>
      <c r="N192" s="325" t="s">
        <v>1430</v>
      </c>
      <c r="O192" s="41"/>
      <c r="P192" s="90">
        <v>41</v>
      </c>
      <c r="Q192" s="90">
        <v>0</v>
      </c>
      <c r="R192" s="41"/>
      <c r="T192" s="41"/>
      <c r="U192" s="41"/>
      <c r="V192" s="41"/>
    </row>
    <row r="193" spans="1:22" ht="13">
      <c r="A193" s="450" t="s">
        <v>1431</v>
      </c>
      <c r="B193" s="455" t="s">
        <v>1432</v>
      </c>
      <c r="C193" s="106"/>
      <c r="D193" s="453" t="s">
        <v>1433</v>
      </c>
      <c r="E193" s="468"/>
      <c r="G193" s="32" t="s">
        <v>910</v>
      </c>
      <c r="H193" s="32"/>
      <c r="I193" s="32"/>
      <c r="N193" s="106" t="str">
        <f ca="1">IFERROR(__xludf.DUMMYFUNCTION("IFERROR(VLOOKUP(TRIM(O193), IMPORTRANGE(""1FiGIDbWXbrw3ESuMmD14r8eot08bsJofQ75uiKf4zAA"", ""23yearsold 1차!B:C""), 2, FALSE), """")"),"")</f>
        <v/>
      </c>
      <c r="O193" s="106"/>
      <c r="P193" s="106"/>
      <c r="Q193" s="106"/>
      <c r="R193" s="106"/>
      <c r="T193" s="106" t="str">
        <f ca="1">IFERROR(__xludf.DUMMYFUNCTION("IFERROR(VLOOKUP(TRIM(N193), IMPORTRANGE(""1FiGIDbWXbrw3ESuMmD14r8eot08bsJofQ75uiKf4zAA"", ""23yearsold 1차!B:D""), 3, FALSE), """")"),"")</f>
        <v/>
      </c>
      <c r="U193" s="106"/>
      <c r="V193" s="106" t="str">
        <f ca="1">IFERROR(__xludf.DUMMYFUNCTION("IFERROR(VLOOKUP(TRIM(N193), IMPORTRANGE(""1FiGIDbWXbrw3ESuMmD14r8eot08bsJofQ75uiKf4zAA"", ""23yearsold 1차!B:F""), 5, FALSE), """")"),"")</f>
        <v/>
      </c>
    </row>
    <row r="194" spans="1:22" ht="13">
      <c r="A194" s="447" t="s">
        <v>1434</v>
      </c>
      <c r="B194" s="448" t="s">
        <v>1435</v>
      </c>
      <c r="C194" s="41"/>
      <c r="D194" s="449" t="s">
        <v>1436</v>
      </c>
      <c r="E194" s="461"/>
      <c r="G194" s="32" t="s">
        <v>910</v>
      </c>
      <c r="H194" s="32"/>
      <c r="I194" s="32"/>
      <c r="N194" s="41" t="str">
        <f ca="1">IFERROR(__xludf.DUMMYFUNCTION("IFERROR(VLOOKUP(TRIM(O194), IMPORTRANGE(""1FiGIDbWXbrw3ESuMmD14r8eot08bsJofQ75uiKf4zAA"", ""23yearsold 1차!B:C""), 2, FALSE), """")"),"")</f>
        <v/>
      </c>
      <c r="O194" s="41"/>
      <c r="P194" s="41"/>
      <c r="Q194" s="41"/>
      <c r="R194" s="41"/>
      <c r="T194" s="41" t="str">
        <f ca="1">IFERROR(__xludf.DUMMYFUNCTION("IFERROR(VLOOKUP(TRIM(N194), IMPORTRANGE(""1FiGIDbWXbrw3ESuMmD14r8eot08bsJofQ75uiKf4zAA"", ""23yearsold 1차!B:D""), 3, FALSE), """")"),"")</f>
        <v/>
      </c>
      <c r="U194" s="41"/>
      <c r="V194" s="41" t="str">
        <f ca="1">IFERROR(__xludf.DUMMYFUNCTION("IFERROR(VLOOKUP(TRIM(N194), IMPORTRANGE(""1FiGIDbWXbrw3ESuMmD14r8eot08bsJofQ75uiKf4zAA"", ""23yearsold 1차!B:F""), 5, FALSE), """")"),"")</f>
        <v/>
      </c>
    </row>
    <row r="195" spans="1:22" ht="13">
      <c r="A195" s="450" t="s">
        <v>1437</v>
      </c>
      <c r="B195" s="451" t="s">
        <v>1438</v>
      </c>
      <c r="C195" s="106"/>
      <c r="D195" s="453" t="s">
        <v>1439</v>
      </c>
      <c r="E195" s="468"/>
      <c r="G195" s="32" t="s">
        <v>910</v>
      </c>
      <c r="H195" s="32"/>
      <c r="I195" s="32"/>
      <c r="N195" s="106" t="str">
        <f ca="1">IFERROR(__xludf.DUMMYFUNCTION("IFERROR(VLOOKUP(TRIM(O195), IMPORTRANGE(""1FiGIDbWXbrw3ESuMmD14r8eot08bsJofQ75uiKf4zAA"", ""23yearsold 1차!B:C""), 2, FALSE), """")"),"")</f>
        <v/>
      </c>
      <c r="O195" s="106"/>
      <c r="P195" s="106"/>
      <c r="Q195" s="106"/>
      <c r="R195" s="106"/>
      <c r="T195" s="106" t="str">
        <f ca="1">IFERROR(__xludf.DUMMYFUNCTION("IFERROR(VLOOKUP(TRIM(N195), IMPORTRANGE(""1FiGIDbWXbrw3ESuMmD14r8eot08bsJofQ75uiKf4zAA"", ""23yearsold 1차!B:D""), 3, FALSE), """")"),"")</f>
        <v/>
      </c>
      <c r="U195" s="106"/>
      <c r="V195" s="106" t="str">
        <f ca="1">IFERROR(__xludf.DUMMYFUNCTION("IFERROR(VLOOKUP(TRIM(N195), IMPORTRANGE(""1FiGIDbWXbrw3ESuMmD14r8eot08bsJofQ75uiKf4zAA"", ""23yearsold 1차!B:F""), 5, FALSE), """")"),"")</f>
        <v/>
      </c>
    </row>
    <row r="196" spans="1:22" ht="13">
      <c r="A196" s="447" t="s">
        <v>1440</v>
      </c>
      <c r="B196" s="448" t="s">
        <v>1441</v>
      </c>
      <c r="C196" s="41"/>
      <c r="D196" s="449" t="s">
        <v>1442</v>
      </c>
      <c r="E196" s="461"/>
      <c r="G196" s="32" t="s">
        <v>910</v>
      </c>
      <c r="H196" s="32"/>
      <c r="I196" s="32"/>
      <c r="N196" s="41" t="str">
        <f ca="1">IFERROR(__xludf.DUMMYFUNCTION("IFERROR(VLOOKUP(TRIM(O196), IMPORTRANGE(""1FiGIDbWXbrw3ESuMmD14r8eot08bsJofQ75uiKf4zAA"", ""23yearsold 1차!B:C""), 2, FALSE), """")"),"")</f>
        <v/>
      </c>
      <c r="O196" s="41"/>
      <c r="P196" s="41"/>
      <c r="Q196" s="41"/>
      <c r="R196" s="41"/>
      <c r="T196" s="41" t="str">
        <f ca="1">IFERROR(__xludf.DUMMYFUNCTION("IFERROR(VLOOKUP(TRIM(N196), IMPORTRANGE(""1FiGIDbWXbrw3ESuMmD14r8eot08bsJofQ75uiKf4zAA"", ""23yearsold 1차!B:D""), 3, FALSE), """")"),"")</f>
        <v/>
      </c>
      <c r="U196" s="41"/>
      <c r="V196" s="41" t="str">
        <f ca="1">IFERROR(__xludf.DUMMYFUNCTION("IFERROR(VLOOKUP(TRIM(N196), IMPORTRANGE(""1FiGIDbWXbrw3ESuMmD14r8eot08bsJofQ75uiKf4zAA"", ""23yearsold 1차!B:F""), 5, FALSE), """")"),"")</f>
        <v/>
      </c>
    </row>
    <row r="197" spans="1:22" ht="13">
      <c r="A197" s="450" t="s">
        <v>1443</v>
      </c>
      <c r="B197" s="451" t="s">
        <v>1444</v>
      </c>
      <c r="C197" s="106"/>
      <c r="D197" s="453" t="s">
        <v>1445</v>
      </c>
      <c r="E197" s="468"/>
      <c r="G197" s="32" t="s">
        <v>910</v>
      </c>
      <c r="H197" s="32"/>
      <c r="I197" s="32"/>
      <c r="N197" s="106" t="str">
        <f ca="1">IFERROR(__xludf.DUMMYFUNCTION("IFERROR(VLOOKUP(TRIM(O197), IMPORTRANGE(""1FiGIDbWXbrw3ESuMmD14r8eot08bsJofQ75uiKf4zAA"", ""23yearsold 1차!B:C""), 2, FALSE), """")"),"")</f>
        <v/>
      </c>
      <c r="O197" s="106"/>
      <c r="P197" s="106"/>
      <c r="Q197" s="106"/>
      <c r="R197" s="106"/>
      <c r="T197" s="106" t="str">
        <f ca="1">IFERROR(__xludf.DUMMYFUNCTION("IFERROR(VLOOKUP(TRIM(N197), IMPORTRANGE(""1FiGIDbWXbrw3ESuMmD14r8eot08bsJofQ75uiKf4zAA"", ""23yearsold 1차!B:D""), 3, FALSE), """")"),"")</f>
        <v/>
      </c>
      <c r="U197" s="106"/>
      <c r="V197" s="106" t="str">
        <f ca="1">IFERROR(__xludf.DUMMYFUNCTION("IFERROR(VLOOKUP(TRIM(N197), IMPORTRANGE(""1FiGIDbWXbrw3ESuMmD14r8eot08bsJofQ75uiKf4zAA"", ""23yearsold 1차!B:F""), 5, FALSE), """")"),"")</f>
        <v/>
      </c>
    </row>
    <row r="198" spans="1:22" ht="13">
      <c r="A198" s="447" t="s">
        <v>1446</v>
      </c>
      <c r="B198" s="448" t="s">
        <v>1447</v>
      </c>
      <c r="C198" s="41"/>
      <c r="D198" s="449" t="s">
        <v>1448</v>
      </c>
      <c r="E198" s="432">
        <v>46166</v>
      </c>
      <c r="G198" s="32" t="s">
        <v>910</v>
      </c>
      <c r="H198" s="325" t="s">
        <v>1449</v>
      </c>
      <c r="N198" s="325" t="s">
        <v>1450</v>
      </c>
      <c r="O198" s="458"/>
      <c r="P198" s="433">
        <v>8</v>
      </c>
      <c r="Q198" s="41"/>
      <c r="R198" s="41"/>
      <c r="T198" s="41"/>
      <c r="U198" s="41"/>
    </row>
    <row r="199" spans="1:22" ht="13">
      <c r="A199" s="450" t="s">
        <v>1451</v>
      </c>
      <c r="B199" s="451" t="s">
        <v>1452</v>
      </c>
      <c r="C199" s="106"/>
      <c r="D199" s="453" t="s">
        <v>1453</v>
      </c>
      <c r="E199" s="472">
        <v>46176</v>
      </c>
      <c r="G199" s="32" t="s">
        <v>910</v>
      </c>
      <c r="H199" s="316" t="s">
        <v>1454</v>
      </c>
      <c r="N199" s="316" t="s">
        <v>1455</v>
      </c>
      <c r="O199" s="106"/>
      <c r="P199" s="194">
        <v>36</v>
      </c>
      <c r="Q199" s="194">
        <v>0</v>
      </c>
      <c r="R199" s="106"/>
      <c r="T199" s="106"/>
      <c r="U199" s="106"/>
    </row>
    <row r="200" spans="1:22" ht="13">
      <c r="A200" s="447" t="s">
        <v>1456</v>
      </c>
      <c r="B200" s="448" t="s">
        <v>1457</v>
      </c>
      <c r="C200" s="41"/>
      <c r="D200" s="449" t="s">
        <v>1458</v>
      </c>
      <c r="E200" s="432">
        <v>46171</v>
      </c>
      <c r="G200" s="32" t="s">
        <v>910</v>
      </c>
      <c r="H200" s="442" t="s">
        <v>1459</v>
      </c>
      <c r="N200" s="325" t="s">
        <v>1460</v>
      </c>
      <c r="O200" s="41"/>
      <c r="P200" s="90">
        <v>4</v>
      </c>
      <c r="Q200" s="41"/>
      <c r="R200" s="41"/>
      <c r="U200" s="41"/>
    </row>
    <row r="201" spans="1:22" ht="13">
      <c r="A201" s="450" t="s">
        <v>1461</v>
      </c>
      <c r="B201" s="451" t="s">
        <v>1462</v>
      </c>
      <c r="C201" s="106"/>
      <c r="D201" s="106"/>
      <c r="E201" s="468"/>
      <c r="G201" s="32" t="s">
        <v>910</v>
      </c>
      <c r="H201" s="106" t="str">
        <f ca="1">IFERROR(__xludf.DUMMYFUNCTION("IFERROR(VLOOKUP(TRIM(N201), IMPORTRANGE(""1FiGIDbWXbrw3ESuMmD14r8eot08bsJofQ75uiKf4zAA"", ""23yearsold 1차!B:F""), 5, FALSE), """")"),"")</f>
        <v/>
      </c>
      <c r="N201" s="106" t="str">
        <f ca="1">IFERROR(__xludf.DUMMYFUNCTION("IFERROR(VLOOKUP(TRIM(O201), IMPORTRANGE(""1FiGIDbWXbrw3ESuMmD14r8eot08bsJofQ75uiKf4zAA"", ""23yearsold 1차!B:C""), 2, FALSE), """")"),"")</f>
        <v/>
      </c>
      <c r="O201" s="106"/>
      <c r="P201" s="106"/>
      <c r="Q201" s="106"/>
      <c r="R201" s="106"/>
      <c r="T201" s="106" t="str">
        <f ca="1">IFERROR(__xludf.DUMMYFUNCTION("IFERROR(VLOOKUP(TRIM(N201), IMPORTRANGE(""1FiGIDbWXbrw3ESuMmD14r8eot08bsJofQ75uiKf4zAA"", ""23yearsold 1차!B:D""), 3, FALSE), """")"),"")</f>
        <v/>
      </c>
      <c r="U201" s="106"/>
    </row>
    <row r="202" spans="1:22" ht="13">
      <c r="A202" s="447" t="s">
        <v>1463</v>
      </c>
      <c r="B202" s="448" t="s">
        <v>1464</v>
      </c>
      <c r="C202" s="41"/>
      <c r="D202" s="449" t="s">
        <v>1465</v>
      </c>
      <c r="E202" s="461"/>
      <c r="G202" s="32" t="s">
        <v>910</v>
      </c>
      <c r="H202" s="41" t="str">
        <f ca="1">IFERROR(__xludf.DUMMYFUNCTION("IFERROR(VLOOKUP(TRIM(N202), IMPORTRANGE(""1FiGIDbWXbrw3ESuMmD14r8eot08bsJofQ75uiKf4zAA"", ""23yearsold 1차!B:F""), 5, FALSE), """")"),"")</f>
        <v/>
      </c>
      <c r="N202" s="41" t="str">
        <f ca="1">IFERROR(__xludf.DUMMYFUNCTION("IFERROR(VLOOKUP(TRIM(O202), IMPORTRANGE(""1FiGIDbWXbrw3ESuMmD14r8eot08bsJofQ75uiKf4zAA"", ""23yearsold 1차!B:C""), 2, FALSE), """")"),"")</f>
        <v/>
      </c>
      <c r="O202" s="41"/>
      <c r="P202" s="41"/>
      <c r="Q202" s="41"/>
      <c r="R202" s="41"/>
      <c r="T202" s="41" t="str">
        <f ca="1">IFERROR(__xludf.DUMMYFUNCTION("IFERROR(VLOOKUP(TRIM(N202), IMPORTRANGE(""1FiGIDbWXbrw3ESuMmD14r8eot08bsJofQ75uiKf4zAA"", ""23yearsold 1차!B:D""), 3, FALSE), """")"),"")</f>
        <v/>
      </c>
      <c r="U202" s="41"/>
    </row>
    <row r="203" spans="1:22" ht="13">
      <c r="A203" s="450" t="s">
        <v>1466</v>
      </c>
      <c r="B203" s="455" t="s">
        <v>1467</v>
      </c>
      <c r="C203" s="106"/>
      <c r="D203" s="453" t="s">
        <v>1468</v>
      </c>
      <c r="E203" s="472">
        <v>46159</v>
      </c>
      <c r="G203" s="32" t="s">
        <v>910</v>
      </c>
      <c r="H203" s="316" t="s">
        <v>1469</v>
      </c>
      <c r="N203" s="316" t="s">
        <v>1470</v>
      </c>
      <c r="O203" s="475"/>
      <c r="P203" s="474" t="s">
        <v>155</v>
      </c>
      <c r="Q203" s="106"/>
      <c r="R203" s="106"/>
      <c r="T203" s="106"/>
      <c r="U203" s="106"/>
    </row>
    <row r="204" spans="1:22" ht="13">
      <c r="A204" s="447" t="s">
        <v>1471</v>
      </c>
      <c r="B204" s="448" t="s">
        <v>1472</v>
      </c>
      <c r="C204" s="41"/>
      <c r="D204" s="449" t="s">
        <v>1473</v>
      </c>
      <c r="E204" s="461"/>
      <c r="G204" s="32" t="s">
        <v>910</v>
      </c>
      <c r="H204" s="32"/>
      <c r="I204" s="32"/>
      <c r="N204" s="41" t="str">
        <f ca="1">IFERROR(__xludf.DUMMYFUNCTION("IFERROR(VLOOKUP(TRIM(O204), IMPORTRANGE(""1FiGIDbWXbrw3ESuMmD14r8eot08bsJofQ75uiKf4zAA"", ""23yearsold 1차!B:C""), 2, FALSE), """")"),"")</f>
        <v/>
      </c>
      <c r="O204" s="41"/>
      <c r="P204" s="41"/>
      <c r="Q204" s="41"/>
      <c r="R204" s="41"/>
      <c r="T204" s="41" t="str">
        <f ca="1">IFERROR(__xludf.DUMMYFUNCTION("IFERROR(VLOOKUP(TRIM(N204), IMPORTRANGE(""1FiGIDbWXbrw3ESuMmD14r8eot08bsJofQ75uiKf4zAA"", ""23yearsold 1차!B:D""), 3, FALSE), """")"),"")</f>
        <v/>
      </c>
      <c r="U204" s="41"/>
      <c r="V204" s="41" t="str">
        <f ca="1">IFERROR(__xludf.DUMMYFUNCTION("IFERROR(VLOOKUP(TRIM(N204), IMPORTRANGE(""1FiGIDbWXbrw3ESuMmD14r8eot08bsJofQ75uiKf4zAA"", ""23yearsold 1차!B:F""), 5, FALSE), """")"),"")</f>
        <v/>
      </c>
    </row>
    <row r="205" spans="1:22" ht="13">
      <c r="A205" s="450" t="s">
        <v>1474</v>
      </c>
      <c r="B205" s="451" t="s">
        <v>1475</v>
      </c>
      <c r="C205" s="106"/>
      <c r="D205" s="453" t="s">
        <v>1476</v>
      </c>
      <c r="E205" s="468"/>
      <c r="G205" s="32" t="s">
        <v>910</v>
      </c>
      <c r="H205" s="32"/>
      <c r="I205" s="32"/>
      <c r="N205" s="106" t="str">
        <f ca="1">IFERROR(__xludf.DUMMYFUNCTION("IFERROR(VLOOKUP(TRIM(O205), IMPORTRANGE(""1FiGIDbWXbrw3ESuMmD14r8eot08bsJofQ75uiKf4zAA"", ""23yearsold 1차!B:C""), 2, FALSE), """")"),"")</f>
        <v/>
      </c>
      <c r="O205" s="106"/>
      <c r="P205" s="106"/>
      <c r="Q205" s="106"/>
      <c r="R205" s="106"/>
      <c r="T205" s="106" t="str">
        <f ca="1">IFERROR(__xludf.DUMMYFUNCTION("IFERROR(VLOOKUP(TRIM(N205), IMPORTRANGE(""1FiGIDbWXbrw3ESuMmD14r8eot08bsJofQ75uiKf4zAA"", ""23yearsold 1차!B:D""), 3, FALSE), """")"),"")</f>
        <v/>
      </c>
      <c r="U205" s="106"/>
      <c r="V205" s="106" t="str">
        <f ca="1">IFERROR(__xludf.DUMMYFUNCTION("IFERROR(VLOOKUP(TRIM(N205), IMPORTRANGE(""1FiGIDbWXbrw3ESuMmD14r8eot08bsJofQ75uiKf4zAA"", ""23yearsold 1차!B:F""), 5, FALSE), """")"),"")</f>
        <v/>
      </c>
    </row>
    <row r="206" spans="1:22" ht="13">
      <c r="A206" s="459" t="s">
        <v>1477</v>
      </c>
      <c r="B206" s="460" t="s">
        <v>1478</v>
      </c>
      <c r="C206" s="36"/>
      <c r="D206" s="36"/>
      <c r="E206" s="461"/>
      <c r="G206" s="32" t="s">
        <v>910</v>
      </c>
      <c r="H206" s="32"/>
      <c r="I206" s="32"/>
      <c r="N206" s="41" t="str">
        <f ca="1">IFERROR(__xludf.DUMMYFUNCTION("IFERROR(VLOOKUP(TRIM(O206), IMPORTRANGE(""1FiGIDbWXbrw3ESuMmD14r8eot08bsJofQ75uiKf4zAA"", ""23yearsold 1차!B:C""), 2, FALSE), """")"),"")</f>
        <v/>
      </c>
      <c r="O206" s="41"/>
      <c r="P206" s="41"/>
      <c r="Q206" s="41"/>
      <c r="R206" s="41"/>
      <c r="T206" s="41" t="str">
        <f ca="1">IFERROR(__xludf.DUMMYFUNCTION("IFERROR(VLOOKUP(TRIM(N206), IMPORTRANGE(""1FiGIDbWXbrw3ESuMmD14r8eot08bsJofQ75uiKf4zAA"", ""23yearsold 1차!B:D""), 3, FALSE), """")"),"")</f>
        <v/>
      </c>
      <c r="U206" s="41"/>
      <c r="V206" s="41" t="str">
        <f ca="1">IFERROR(__xludf.DUMMYFUNCTION("IFERROR(VLOOKUP(TRIM(N206), IMPORTRANGE(""1FiGIDbWXbrw3ESuMmD14r8eot08bsJofQ75uiKf4zAA"", ""23yearsold 1차!B:F""), 5, FALSE), """")"),"")</f>
        <v/>
      </c>
    </row>
    <row r="207" spans="1:22" ht="13">
      <c r="A207" s="450" t="s">
        <v>1479</v>
      </c>
      <c r="B207" s="451" t="s">
        <v>1480</v>
      </c>
      <c r="C207" s="106"/>
      <c r="D207" s="453" t="s">
        <v>1481</v>
      </c>
      <c r="E207" s="468"/>
      <c r="G207" s="32" t="s">
        <v>910</v>
      </c>
      <c r="H207" s="32"/>
      <c r="I207" s="32"/>
      <c r="N207" s="106" t="str">
        <f ca="1">IFERROR(__xludf.DUMMYFUNCTION("IFERROR(VLOOKUP(TRIM(O207), IMPORTRANGE(""1FiGIDbWXbrw3ESuMmD14r8eot08bsJofQ75uiKf4zAA"", ""23yearsold 1차!B:C""), 2, FALSE), """")"),"")</f>
        <v/>
      </c>
      <c r="O207" s="106"/>
      <c r="P207" s="106"/>
      <c r="Q207" s="106"/>
      <c r="R207" s="106"/>
      <c r="T207" s="106" t="str">
        <f ca="1">IFERROR(__xludf.DUMMYFUNCTION("IFERROR(VLOOKUP(TRIM(N207), IMPORTRANGE(""1FiGIDbWXbrw3ESuMmD14r8eot08bsJofQ75uiKf4zAA"", ""23yearsold 1차!B:D""), 3, FALSE), """")"),"")</f>
        <v/>
      </c>
      <c r="U207" s="106"/>
      <c r="V207" s="106" t="str">
        <f ca="1">IFERROR(__xludf.DUMMYFUNCTION("IFERROR(VLOOKUP(TRIM(N207), IMPORTRANGE(""1FiGIDbWXbrw3ESuMmD14r8eot08bsJofQ75uiKf4zAA"", ""23yearsold 1차!B:F""), 5, FALSE), """")"),"")</f>
        <v/>
      </c>
    </row>
    <row r="208" spans="1:22" ht="13">
      <c r="A208" s="447" t="s">
        <v>1482</v>
      </c>
      <c r="B208" s="452" t="s">
        <v>1483</v>
      </c>
      <c r="C208" s="41"/>
      <c r="D208" s="41"/>
      <c r="E208" s="432">
        <v>46162</v>
      </c>
      <c r="G208" s="32" t="s">
        <v>910</v>
      </c>
      <c r="H208" s="32"/>
      <c r="I208" s="32"/>
      <c r="N208" s="325" t="s">
        <v>1484</v>
      </c>
      <c r="O208" s="458"/>
      <c r="P208" s="433">
        <v>6</v>
      </c>
      <c r="Q208" s="41"/>
      <c r="R208" s="41"/>
      <c r="T208" s="41"/>
      <c r="U208" s="41"/>
      <c r="V208" s="41"/>
    </row>
    <row r="209" spans="1:22" ht="13">
      <c r="A209" s="450" t="s">
        <v>1485</v>
      </c>
      <c r="B209" s="451" t="s">
        <v>1486</v>
      </c>
      <c r="C209" s="106"/>
      <c r="D209" s="106"/>
      <c r="E209" s="468"/>
      <c r="G209" s="32" t="s">
        <v>910</v>
      </c>
      <c r="H209" s="32"/>
      <c r="I209" s="32"/>
      <c r="N209" s="106" t="str">
        <f ca="1">IFERROR(__xludf.DUMMYFUNCTION("IFERROR(VLOOKUP(TRIM(O209), IMPORTRANGE(""1FiGIDbWXbrw3ESuMmD14r8eot08bsJofQ75uiKf4zAA"", ""23yearsold 1차!B:C""), 2, FALSE), """")"),"")</f>
        <v/>
      </c>
      <c r="O209" s="106"/>
      <c r="P209" s="106"/>
      <c r="Q209" s="106"/>
      <c r="R209" s="106"/>
      <c r="T209" s="106" t="str">
        <f ca="1">IFERROR(__xludf.DUMMYFUNCTION("IFERROR(VLOOKUP(TRIM(N209), IMPORTRANGE(""1FiGIDbWXbrw3ESuMmD14r8eot08bsJofQ75uiKf4zAA"", ""23yearsold 1차!B:D""), 3, FALSE), """")"),"")</f>
        <v/>
      </c>
      <c r="U209" s="106"/>
      <c r="V209" s="106" t="str">
        <f ca="1">IFERROR(__xludf.DUMMYFUNCTION("IFERROR(VLOOKUP(TRIM(N209), IMPORTRANGE(""1FiGIDbWXbrw3ESuMmD14r8eot08bsJofQ75uiKf4zAA"", ""23yearsold 1차!B:F""), 5, FALSE), """")"),"")</f>
        <v/>
      </c>
    </row>
    <row r="210" spans="1:22" ht="13">
      <c r="A210" s="447" t="s">
        <v>1487</v>
      </c>
      <c r="B210" s="452" t="s">
        <v>1488</v>
      </c>
      <c r="C210" s="41"/>
      <c r="D210" s="449" t="s">
        <v>1489</v>
      </c>
      <c r="E210" s="461"/>
      <c r="G210" s="32" t="s">
        <v>910</v>
      </c>
      <c r="H210" s="32"/>
      <c r="I210" s="32"/>
      <c r="N210" s="41" t="str">
        <f ca="1">IFERROR(__xludf.DUMMYFUNCTION("IFERROR(VLOOKUP(TRIM(O210), IMPORTRANGE(""1FiGIDbWXbrw3ESuMmD14r8eot08bsJofQ75uiKf4zAA"", ""23yearsold 1차!B:C""), 2, FALSE), """")"),"")</f>
        <v/>
      </c>
      <c r="O210" s="41"/>
      <c r="P210" s="41"/>
      <c r="Q210" s="41"/>
      <c r="R210" s="41"/>
      <c r="T210" s="41" t="str">
        <f ca="1">IFERROR(__xludf.DUMMYFUNCTION("IFERROR(VLOOKUP(TRIM(N210), IMPORTRANGE(""1FiGIDbWXbrw3ESuMmD14r8eot08bsJofQ75uiKf4zAA"", ""23yearsold 1차!B:D""), 3, FALSE), """")"),"")</f>
        <v/>
      </c>
      <c r="U210" s="41"/>
      <c r="V210" s="41" t="str">
        <f ca="1">IFERROR(__xludf.DUMMYFUNCTION("IFERROR(VLOOKUP(TRIM(N210), IMPORTRANGE(""1FiGIDbWXbrw3ESuMmD14r8eot08bsJofQ75uiKf4zAA"", ""23yearsold 1차!B:F""), 5, FALSE), """")"),"")</f>
        <v/>
      </c>
    </row>
    <row r="211" spans="1:22" ht="13">
      <c r="A211" s="450" t="s">
        <v>1490</v>
      </c>
      <c r="B211" s="451" t="s">
        <v>1491</v>
      </c>
      <c r="C211" s="106"/>
      <c r="D211" s="453" t="s">
        <v>1492</v>
      </c>
      <c r="E211" s="468"/>
      <c r="G211" s="32" t="s">
        <v>910</v>
      </c>
      <c r="H211" s="32"/>
      <c r="I211" s="32"/>
      <c r="N211" s="106" t="str">
        <f ca="1">IFERROR(__xludf.DUMMYFUNCTION("IFERROR(VLOOKUP(TRIM(O211), IMPORTRANGE(""1FiGIDbWXbrw3ESuMmD14r8eot08bsJofQ75uiKf4zAA"", ""23yearsold 1차!B:C""), 2, FALSE), """")"),"")</f>
        <v/>
      </c>
      <c r="O211" s="106"/>
      <c r="P211" s="106"/>
      <c r="Q211" s="106"/>
      <c r="R211" s="106"/>
      <c r="T211" s="106" t="str">
        <f ca="1">IFERROR(__xludf.DUMMYFUNCTION("IFERROR(VLOOKUP(TRIM(N211), IMPORTRANGE(""1FiGIDbWXbrw3ESuMmD14r8eot08bsJofQ75uiKf4zAA"", ""23yearsold 1차!B:D""), 3, FALSE), """")"),"")</f>
        <v/>
      </c>
      <c r="U211" s="106"/>
      <c r="V211" s="106" t="str">
        <f ca="1">IFERROR(__xludf.DUMMYFUNCTION("IFERROR(VLOOKUP(TRIM(N211), IMPORTRANGE(""1FiGIDbWXbrw3ESuMmD14r8eot08bsJofQ75uiKf4zAA"", ""23yearsold 1차!B:F""), 5, FALSE), """")"),"")</f>
        <v/>
      </c>
    </row>
    <row r="212" spans="1:22" ht="13">
      <c r="A212" s="447" t="s">
        <v>1493</v>
      </c>
      <c r="B212" s="448" t="s">
        <v>1494</v>
      </c>
      <c r="C212" s="41"/>
      <c r="D212" s="449" t="s">
        <v>1495</v>
      </c>
      <c r="E212" s="432">
        <v>46177</v>
      </c>
      <c r="G212" s="32" t="s">
        <v>910</v>
      </c>
      <c r="H212" s="32"/>
      <c r="I212" s="32"/>
      <c r="N212" s="325" t="s">
        <v>1496</v>
      </c>
      <c r="O212" s="41"/>
      <c r="P212" s="90">
        <v>25</v>
      </c>
      <c r="Q212" s="41"/>
      <c r="R212" s="41"/>
      <c r="T212" s="41" t="str">
        <f ca="1">IFERROR(__xludf.DUMMYFUNCTION("IFERROR(VLOOKUP(TRIM(N212), IMPORTRANGE(""1FiGIDbWXbrw3ESuMmD14r8eot08bsJofQ75uiKf4zAA"", ""23yearsold 1차!B:D""), 3, FALSE), """")"),"")</f>
        <v/>
      </c>
      <c r="U212" s="41"/>
      <c r="V212" s="41" t="str">
        <f ca="1">IFERROR(__xludf.DUMMYFUNCTION("IFERROR(VLOOKUP(TRIM(N212), IMPORTRANGE(""1FiGIDbWXbrw3ESuMmD14r8eot08bsJofQ75uiKf4zAA"", ""23yearsold 1차!B:F""), 5, FALSE), """")"),"")</f>
        <v/>
      </c>
    </row>
    <row r="213" spans="1:22" ht="13">
      <c r="A213" s="450" t="s">
        <v>1497</v>
      </c>
      <c r="B213" s="455" t="s">
        <v>1498</v>
      </c>
      <c r="C213" s="106"/>
      <c r="D213" s="453" t="s">
        <v>1499</v>
      </c>
      <c r="E213" s="472">
        <v>46162</v>
      </c>
      <c r="G213" s="32" t="s">
        <v>910</v>
      </c>
      <c r="H213" s="32"/>
      <c r="I213" s="32"/>
      <c r="N213" s="316" t="s">
        <v>1500</v>
      </c>
      <c r="O213" s="106"/>
      <c r="P213" s="194">
        <v>52</v>
      </c>
      <c r="Q213" s="106"/>
      <c r="R213" s="106"/>
      <c r="T213" s="106"/>
      <c r="U213" s="106"/>
      <c r="V213" s="106"/>
    </row>
    <row r="214" spans="1:22" ht="13">
      <c r="A214" s="447" t="s">
        <v>1501</v>
      </c>
      <c r="B214" s="448" t="s">
        <v>1502</v>
      </c>
      <c r="C214" s="41"/>
      <c r="D214" s="449" t="s">
        <v>1503</v>
      </c>
      <c r="E214" s="432">
        <v>46164</v>
      </c>
      <c r="G214" s="32" t="s">
        <v>910</v>
      </c>
      <c r="H214" s="325" t="s">
        <v>1504</v>
      </c>
      <c r="I214" s="325"/>
      <c r="N214" s="325" t="s">
        <v>1505</v>
      </c>
      <c r="O214" s="458"/>
      <c r="P214" s="433">
        <v>20</v>
      </c>
      <c r="Q214" s="41"/>
      <c r="R214" s="41"/>
      <c r="U214" s="41"/>
    </row>
    <row r="215" spans="1:22" ht="13">
      <c r="A215" s="450" t="s">
        <v>1506</v>
      </c>
      <c r="B215" s="451" t="s">
        <v>1507</v>
      </c>
      <c r="C215" s="106"/>
      <c r="D215" s="106"/>
      <c r="E215" s="472">
        <v>46163</v>
      </c>
      <c r="G215" s="32" t="s">
        <v>910</v>
      </c>
      <c r="H215" s="476" t="s">
        <v>1508</v>
      </c>
      <c r="I215" s="106"/>
      <c r="N215" s="316" t="s">
        <v>1509</v>
      </c>
      <c r="O215" s="475"/>
      <c r="P215" s="474">
        <v>89</v>
      </c>
      <c r="Q215" s="106"/>
      <c r="R215" s="106"/>
      <c r="U215" s="106"/>
      <c r="V215" s="106"/>
    </row>
    <row r="216" spans="1:22" ht="13">
      <c r="A216" s="447" t="s">
        <v>1510</v>
      </c>
      <c r="B216" s="448" t="s">
        <v>1511</v>
      </c>
      <c r="C216" s="41"/>
      <c r="D216" s="41"/>
      <c r="E216" s="432">
        <v>46167</v>
      </c>
      <c r="G216" s="32" t="s">
        <v>910</v>
      </c>
      <c r="H216" s="442" t="s">
        <v>1512</v>
      </c>
      <c r="I216" s="477"/>
      <c r="N216" s="41"/>
      <c r="O216" s="90">
        <v>401</v>
      </c>
      <c r="P216" s="90">
        <v>17</v>
      </c>
      <c r="Q216" s="41"/>
      <c r="R216" s="41"/>
      <c r="U216" s="41"/>
      <c r="V216" s="325"/>
    </row>
    <row r="217" spans="1:22" ht="13">
      <c r="A217" s="450" t="s">
        <v>1513</v>
      </c>
      <c r="B217" s="451" t="s">
        <v>1514</v>
      </c>
      <c r="C217" s="106"/>
      <c r="D217" s="453" t="s">
        <v>1515</v>
      </c>
      <c r="E217" s="472">
        <v>46168</v>
      </c>
      <c r="G217" s="32" t="s">
        <v>910</v>
      </c>
      <c r="H217" s="316" t="s">
        <v>1516</v>
      </c>
      <c r="I217" s="316"/>
      <c r="N217" s="316" t="s">
        <v>1517</v>
      </c>
      <c r="O217" s="475"/>
      <c r="P217" s="474">
        <v>5</v>
      </c>
      <c r="Q217" s="106"/>
      <c r="R217" s="106"/>
      <c r="U217" s="106"/>
    </row>
    <row r="218" spans="1:22" ht="13">
      <c r="A218" s="447" t="s">
        <v>1518</v>
      </c>
      <c r="B218" s="448" t="s">
        <v>1519</v>
      </c>
      <c r="C218" s="41"/>
      <c r="D218" s="449" t="s">
        <v>1520</v>
      </c>
      <c r="E218" s="461"/>
      <c r="G218" s="32" t="s">
        <v>910</v>
      </c>
      <c r="H218" s="41" t="str">
        <f ca="1">IFERROR(__xludf.DUMMYFUNCTION("IFERROR(VLOOKUP(TRIM(N218), IMPORTRANGE(""1FiGIDbWXbrw3ESuMmD14r8eot08bsJofQ75uiKf4zAA"", ""23yearsold 1차!B:D""), 3, FALSE), """")"),"")</f>
        <v/>
      </c>
      <c r="I218" s="41"/>
      <c r="N218" s="41" t="str">
        <f ca="1">IFERROR(__xludf.DUMMYFUNCTION("IFERROR(VLOOKUP(TRIM(O218), IMPORTRANGE(""1FiGIDbWXbrw3ESuMmD14r8eot08bsJofQ75uiKf4zAA"", ""23yearsold 1차!B:C""), 2, FALSE), """")"),"")</f>
        <v/>
      </c>
      <c r="O218" s="41"/>
      <c r="P218" s="41"/>
      <c r="Q218" s="41"/>
      <c r="R218" s="41"/>
      <c r="U218" s="41"/>
      <c r="V218" s="41" t="str">
        <f ca="1">IFERROR(__xludf.DUMMYFUNCTION("IFERROR(VLOOKUP(TRIM(N218), IMPORTRANGE(""1FiGIDbWXbrw3ESuMmD14r8eot08bsJofQ75uiKf4zAA"", ""23yearsold 1차!B:F""), 5, FALSE), """")"),"")</f>
        <v/>
      </c>
    </row>
    <row r="219" spans="1:22" ht="13">
      <c r="A219" s="450" t="s">
        <v>1521</v>
      </c>
      <c r="B219" s="451" t="s">
        <v>1522</v>
      </c>
      <c r="C219" s="106"/>
      <c r="D219" s="106"/>
      <c r="E219" s="472">
        <v>46171</v>
      </c>
      <c r="G219" s="32" t="s">
        <v>910</v>
      </c>
      <c r="H219" s="316" t="s">
        <v>1523</v>
      </c>
      <c r="I219" s="316"/>
      <c r="N219" s="106"/>
      <c r="O219" s="194">
        <v>558</v>
      </c>
      <c r="P219" s="194">
        <v>52</v>
      </c>
      <c r="Q219" s="106"/>
      <c r="R219" s="106"/>
      <c r="U219" s="106"/>
      <c r="V219" s="106"/>
    </row>
    <row r="220" spans="1:22" ht="13">
      <c r="A220" s="447" t="s">
        <v>1524</v>
      </c>
      <c r="B220" s="448" t="s">
        <v>1525</v>
      </c>
      <c r="C220" s="41"/>
      <c r="D220" s="41"/>
      <c r="E220" s="432">
        <v>46166</v>
      </c>
      <c r="G220" s="32" t="s">
        <v>910</v>
      </c>
      <c r="H220" s="325" t="s">
        <v>1526</v>
      </c>
      <c r="I220" s="325"/>
      <c r="N220" s="325" t="s">
        <v>1527</v>
      </c>
      <c r="O220" s="458"/>
      <c r="P220" s="433">
        <v>13</v>
      </c>
      <c r="Q220" s="41"/>
      <c r="R220" s="41"/>
      <c r="U220" s="41"/>
      <c r="V220" s="41"/>
    </row>
    <row r="221" spans="1:22" ht="13">
      <c r="A221" s="450" t="s">
        <v>1528</v>
      </c>
      <c r="B221" s="451" t="s">
        <v>1529</v>
      </c>
      <c r="C221" s="106"/>
      <c r="D221" s="106"/>
      <c r="E221" s="468"/>
      <c r="G221" s="32" t="s">
        <v>910</v>
      </c>
      <c r="H221" s="106" t="str">
        <f ca="1">IFERROR(__xludf.DUMMYFUNCTION("IFERROR(VLOOKUP(TRIM(N221), IMPORTRANGE(""1FiGIDbWXbrw3ESuMmD14r8eot08bsJofQ75uiKf4zAA"", ""23yearsold 1차!B:D""), 3, FALSE), """")"),"")</f>
        <v/>
      </c>
      <c r="I221" s="106"/>
      <c r="N221" s="106" t="str">
        <f ca="1">IFERROR(__xludf.DUMMYFUNCTION("IFERROR(VLOOKUP(TRIM(O221), IMPORTRANGE(""1FiGIDbWXbrw3ESuMmD14r8eot08bsJofQ75uiKf4zAA"", ""23yearsold 1차!B:C""), 2, FALSE), """")"),"")</f>
        <v/>
      </c>
      <c r="O221" s="106"/>
      <c r="P221" s="106"/>
      <c r="Q221" s="106"/>
      <c r="R221" s="106"/>
      <c r="U221" s="106"/>
      <c r="V221" s="106" t="str">
        <f ca="1">IFERROR(__xludf.DUMMYFUNCTION("IFERROR(VLOOKUP(TRIM(N221), IMPORTRANGE(""1FiGIDbWXbrw3ESuMmD14r8eot08bsJofQ75uiKf4zAA"", ""23yearsold 1차!B:F""), 5, FALSE), """")"),"")</f>
        <v/>
      </c>
    </row>
    <row r="222" spans="1:22" ht="13">
      <c r="A222" s="447" t="s">
        <v>1530</v>
      </c>
      <c r="B222" s="448" t="s">
        <v>1531</v>
      </c>
      <c r="C222" s="41"/>
      <c r="D222" s="41"/>
      <c r="E222" s="461"/>
      <c r="G222" s="32" t="s">
        <v>910</v>
      </c>
      <c r="H222" s="41" t="str">
        <f ca="1">IFERROR(__xludf.DUMMYFUNCTION("IFERROR(VLOOKUP(TRIM(N222), IMPORTRANGE(""1FiGIDbWXbrw3ESuMmD14r8eot08bsJofQ75uiKf4zAA"", ""23yearsold 1차!B:D""), 3, FALSE), """")"),"")</f>
        <v/>
      </c>
      <c r="I222" s="41"/>
      <c r="N222" s="41" t="str">
        <f ca="1">IFERROR(__xludf.DUMMYFUNCTION("IFERROR(VLOOKUP(TRIM(O222), IMPORTRANGE(""1FiGIDbWXbrw3ESuMmD14r8eot08bsJofQ75uiKf4zAA"", ""23yearsold 1차!B:C""), 2, FALSE), """")"),"")</f>
        <v/>
      </c>
      <c r="O222" s="41"/>
      <c r="P222" s="41"/>
      <c r="Q222" s="41"/>
      <c r="R222" s="41"/>
      <c r="U222" s="41"/>
      <c r="V222" s="41" t="str">
        <f ca="1">IFERROR(__xludf.DUMMYFUNCTION("IFERROR(VLOOKUP(TRIM(N222), IMPORTRANGE(""1FiGIDbWXbrw3ESuMmD14r8eot08bsJofQ75uiKf4zAA"", ""23yearsold 1차!B:F""), 5, FALSE), """")"),"")</f>
        <v/>
      </c>
    </row>
    <row r="223" spans="1:22" ht="13">
      <c r="A223" s="450" t="s">
        <v>1532</v>
      </c>
      <c r="B223" s="451">
        <v>8087318157</v>
      </c>
      <c r="C223" s="106"/>
      <c r="D223" s="106"/>
      <c r="E223" s="472">
        <v>46167</v>
      </c>
      <c r="G223" s="32" t="s">
        <v>910</v>
      </c>
      <c r="H223" s="316" t="s">
        <v>1533</v>
      </c>
      <c r="I223" s="316"/>
      <c r="N223" s="106"/>
      <c r="O223" s="194">
        <v>727</v>
      </c>
      <c r="P223" s="194">
        <v>17</v>
      </c>
      <c r="Q223" s="106"/>
      <c r="R223" s="106"/>
      <c r="U223" s="106"/>
      <c r="V223" s="106"/>
    </row>
    <row r="224" spans="1:22" ht="13">
      <c r="A224" s="447" t="s">
        <v>1534</v>
      </c>
      <c r="B224" s="448" t="s">
        <v>1535</v>
      </c>
      <c r="C224" s="41"/>
      <c r="D224" s="449" t="s">
        <v>1536</v>
      </c>
      <c r="E224" s="432">
        <v>46168</v>
      </c>
      <c r="G224" s="32" t="s">
        <v>910</v>
      </c>
      <c r="H224" s="325" t="s">
        <v>1537</v>
      </c>
      <c r="I224" s="325"/>
      <c r="N224" s="41" t="str">
        <f ca="1">IFERROR(__xludf.DUMMYFUNCTION("IFERROR(VLOOKUP(TRIM(O224), IMPORTRANGE(""1FiGIDbWXbrw3ESuMmD14r8eot08bsJofQ75uiKf4zAA"", ""23yearsold 1차!B:C""), 2, FALSE), """")"),"")</f>
        <v/>
      </c>
      <c r="O224" s="90">
        <v>915</v>
      </c>
      <c r="P224" s="90">
        <v>76</v>
      </c>
      <c r="Q224" s="41"/>
      <c r="R224" s="90">
        <v>1</v>
      </c>
      <c r="U224" s="41"/>
      <c r="V224" s="41" t="str">
        <f ca="1">IFERROR(__xludf.DUMMYFUNCTION("IFERROR(VLOOKUP(TRIM(N224), IMPORTRANGE(""1FiGIDbWXbrw3ESuMmD14r8eot08bsJofQ75uiKf4zAA"", ""23yearsold 1차!B:F""), 5, FALSE), """")"),"")</f>
        <v/>
      </c>
    </row>
    <row r="225" spans="1:22" ht="13">
      <c r="A225" s="450" t="s">
        <v>1538</v>
      </c>
      <c r="B225" s="451" t="s">
        <v>1539</v>
      </c>
      <c r="C225" s="106"/>
      <c r="D225" s="453" t="s">
        <v>1540</v>
      </c>
      <c r="E225" s="472">
        <v>46168</v>
      </c>
      <c r="G225" s="32" t="s">
        <v>910</v>
      </c>
      <c r="H225" s="32"/>
      <c r="I225" s="32"/>
      <c r="N225" s="316" t="s">
        <v>1541</v>
      </c>
      <c r="O225" s="474">
        <v>282</v>
      </c>
      <c r="P225" s="474">
        <v>3</v>
      </c>
      <c r="Q225" s="106"/>
      <c r="R225" s="106"/>
      <c r="T225" s="106"/>
      <c r="U225" s="106"/>
      <c r="V225" s="106"/>
    </row>
    <row r="226" spans="1:22" ht="13">
      <c r="A226" s="447" t="s">
        <v>1542</v>
      </c>
      <c r="B226" s="448" t="s">
        <v>1543</v>
      </c>
      <c r="C226" s="41"/>
      <c r="D226" s="449" t="s">
        <v>1544</v>
      </c>
      <c r="E226" s="432">
        <v>46176</v>
      </c>
      <c r="G226" s="32" t="s">
        <v>910</v>
      </c>
      <c r="H226" s="32"/>
      <c r="I226" s="32"/>
      <c r="N226" s="325" t="s">
        <v>1545</v>
      </c>
      <c r="O226" s="90">
        <v>2488</v>
      </c>
      <c r="P226" s="90">
        <v>6</v>
      </c>
      <c r="Q226" s="90">
        <v>0</v>
      </c>
      <c r="R226" s="41"/>
      <c r="T226" s="41"/>
      <c r="U226" s="41"/>
      <c r="V226" s="41"/>
    </row>
    <row r="227" spans="1:22" ht="13">
      <c r="A227" s="450" t="s">
        <v>1546</v>
      </c>
      <c r="B227" s="451" t="s">
        <v>1547</v>
      </c>
      <c r="C227" s="106"/>
      <c r="D227" s="453" t="s">
        <v>1548</v>
      </c>
      <c r="E227" s="468"/>
      <c r="G227" s="32" t="s">
        <v>910</v>
      </c>
      <c r="H227" s="32"/>
      <c r="I227" s="32"/>
      <c r="N227" s="106" t="str">
        <f ca="1">IFERROR(__xludf.DUMMYFUNCTION("IFERROR(VLOOKUP(TRIM(O227), IMPORTRANGE(""1FiGIDbWXbrw3ESuMmD14r8eot08bsJofQ75uiKf4zAA"", ""23yearsold 1차!B:C""), 2, FALSE), """")"),"")</f>
        <v/>
      </c>
      <c r="O227" s="106"/>
      <c r="P227" s="106"/>
      <c r="Q227" s="106"/>
      <c r="R227" s="106"/>
      <c r="T227" s="106" t="str">
        <f ca="1">IFERROR(__xludf.DUMMYFUNCTION("IFERROR(VLOOKUP(TRIM(N227), IMPORTRANGE(""1FiGIDbWXbrw3ESuMmD14r8eot08bsJofQ75uiKf4zAA"", ""23yearsold 1차!B:D""), 3, FALSE), """")"),"")</f>
        <v/>
      </c>
      <c r="U227" s="106"/>
      <c r="V227" s="106" t="str">
        <f ca="1">IFERROR(__xludf.DUMMYFUNCTION("IFERROR(VLOOKUP(TRIM(N227), IMPORTRANGE(""1FiGIDbWXbrw3ESuMmD14r8eot08bsJofQ75uiKf4zAA"", ""23yearsold 1차!B:F""), 5, FALSE), """")"),"")</f>
        <v/>
      </c>
    </row>
    <row r="228" spans="1:22" ht="13">
      <c r="A228" s="447" t="s">
        <v>1549</v>
      </c>
      <c r="B228" s="448" t="s">
        <v>1550</v>
      </c>
      <c r="C228" s="41"/>
      <c r="D228" s="41"/>
      <c r="E228" s="432">
        <v>46161</v>
      </c>
      <c r="G228" s="32" t="s">
        <v>910</v>
      </c>
      <c r="H228" s="478" t="s">
        <v>1551</v>
      </c>
      <c r="I228" s="479"/>
      <c r="N228" s="325" t="s">
        <v>1552</v>
      </c>
      <c r="O228" s="90">
        <v>368</v>
      </c>
      <c r="P228" s="90">
        <v>51</v>
      </c>
      <c r="Q228" s="41"/>
      <c r="R228" s="41"/>
      <c r="U228" s="41"/>
      <c r="V228" s="325"/>
    </row>
    <row r="229" spans="1:22" ht="13">
      <c r="A229" s="450" t="s">
        <v>1553</v>
      </c>
      <c r="B229" s="451" t="s">
        <v>1554</v>
      </c>
      <c r="C229" s="106"/>
      <c r="D229" s="453" t="s">
        <v>1555</v>
      </c>
      <c r="E229" s="468"/>
      <c r="G229" s="32" t="s">
        <v>910</v>
      </c>
      <c r="H229" s="106" t="str">
        <f ca="1">IFERROR(__xludf.DUMMYFUNCTION("IFERROR(VLOOKUP(TRIM(N229), IMPORTRANGE(""1FiGIDbWXbrw3ESuMmD14r8eot08bsJofQ75uiKf4zAA"", ""23yearsold 1차!B:D""), 3, FALSE), """")"),"")</f>
        <v/>
      </c>
      <c r="I229" s="106"/>
      <c r="N229" s="106" t="str">
        <f ca="1">IFERROR(__xludf.DUMMYFUNCTION("IFERROR(VLOOKUP(TRIM(O229), IMPORTRANGE(""1FiGIDbWXbrw3ESuMmD14r8eot08bsJofQ75uiKf4zAA"", ""23yearsold 1차!B:C""), 2, FALSE), """")"),"")</f>
        <v/>
      </c>
      <c r="O229" s="106"/>
      <c r="P229" s="106"/>
      <c r="Q229" s="106"/>
      <c r="R229" s="106"/>
      <c r="U229" s="106"/>
      <c r="V229" s="106" t="str">
        <f ca="1">IFERROR(__xludf.DUMMYFUNCTION("IFERROR(VLOOKUP(TRIM(N229), IMPORTRANGE(""1FiGIDbWXbrw3ESuMmD14r8eot08bsJofQ75uiKf4zAA"", ""23yearsold 1차!B:F""), 5, FALSE), """")"),"")</f>
        <v/>
      </c>
    </row>
    <row r="230" spans="1:22" ht="13">
      <c r="A230" s="447" t="s">
        <v>1556</v>
      </c>
      <c r="B230" s="448" t="s">
        <v>1557</v>
      </c>
      <c r="C230" s="41"/>
      <c r="D230" s="449" t="s">
        <v>1558</v>
      </c>
      <c r="E230" s="461"/>
      <c r="G230" s="32" t="s">
        <v>910</v>
      </c>
      <c r="H230" s="41" t="str">
        <f ca="1">IFERROR(__xludf.DUMMYFUNCTION("IFERROR(VLOOKUP(TRIM(N230), IMPORTRANGE(""1FiGIDbWXbrw3ESuMmD14r8eot08bsJofQ75uiKf4zAA"", ""23yearsold 1차!B:D""), 3, FALSE), """")"),"")</f>
        <v/>
      </c>
      <c r="I230" s="41"/>
      <c r="N230" s="41" t="str">
        <f ca="1">IFERROR(__xludf.DUMMYFUNCTION("IFERROR(VLOOKUP(TRIM(O230), IMPORTRANGE(""1FiGIDbWXbrw3ESuMmD14r8eot08bsJofQ75uiKf4zAA"", ""23yearsold 1차!B:C""), 2, FALSE), """")"),"")</f>
        <v/>
      </c>
      <c r="O230" s="41"/>
      <c r="P230" s="41"/>
      <c r="Q230" s="41"/>
      <c r="R230" s="41"/>
      <c r="U230" s="41"/>
      <c r="V230" s="41" t="str">
        <f ca="1">IFERROR(__xludf.DUMMYFUNCTION("IFERROR(VLOOKUP(TRIM(N230), IMPORTRANGE(""1FiGIDbWXbrw3ESuMmD14r8eot08bsJofQ75uiKf4zAA"", ""23yearsold 1차!B:F""), 5, FALSE), """")"),"")</f>
        <v/>
      </c>
    </row>
    <row r="231" spans="1:22" ht="13">
      <c r="A231" s="450" t="s">
        <v>1559</v>
      </c>
      <c r="B231" s="455" t="s">
        <v>1560</v>
      </c>
      <c r="C231" s="106"/>
      <c r="D231" s="106"/>
      <c r="E231" s="472">
        <v>46171</v>
      </c>
      <c r="G231" s="32" t="s">
        <v>910</v>
      </c>
      <c r="H231" s="316" t="s">
        <v>1561</v>
      </c>
      <c r="I231" s="316"/>
      <c r="N231" s="106"/>
      <c r="O231" s="194">
        <v>797</v>
      </c>
      <c r="P231" s="194">
        <v>79</v>
      </c>
      <c r="Q231" s="106"/>
      <c r="R231" s="106"/>
      <c r="U231" s="106"/>
      <c r="V231" s="106"/>
    </row>
    <row r="232" spans="1:22" ht="13">
      <c r="A232" s="447" t="s">
        <v>1562</v>
      </c>
      <c r="B232" s="452" t="s">
        <v>1563</v>
      </c>
      <c r="C232" s="41"/>
      <c r="D232" s="41"/>
      <c r="E232" s="432">
        <v>46161</v>
      </c>
      <c r="G232" s="32" t="s">
        <v>910</v>
      </c>
      <c r="H232" s="442" t="s">
        <v>1564</v>
      </c>
      <c r="I232" s="477"/>
      <c r="N232" s="325" t="s">
        <v>1565</v>
      </c>
      <c r="O232" s="458"/>
      <c r="P232" s="433">
        <v>21</v>
      </c>
      <c r="Q232" s="41"/>
      <c r="R232" s="41"/>
      <c r="U232" s="41"/>
      <c r="V232" s="325"/>
    </row>
    <row r="233" spans="1:22" ht="13">
      <c r="A233" s="450" t="s">
        <v>1566</v>
      </c>
      <c r="B233" s="451">
        <v>8109053127762</v>
      </c>
      <c r="C233" s="106"/>
      <c r="D233" s="106"/>
      <c r="E233" s="468"/>
      <c r="G233" s="32" t="s">
        <v>910</v>
      </c>
      <c r="H233" s="106" t="str">
        <f ca="1">IFERROR(__xludf.DUMMYFUNCTION("IFERROR(VLOOKUP(TRIM(N233), IMPORTRANGE(""1FiGIDbWXbrw3ESuMmD14r8eot08bsJofQ75uiKf4zAA"", ""23yearsold 1차!B:D""), 3, FALSE), """")"),"")</f>
        <v/>
      </c>
      <c r="I233" s="106"/>
      <c r="N233" s="106" t="str">
        <f ca="1">IFERROR(__xludf.DUMMYFUNCTION("IFERROR(VLOOKUP(TRIM(O233), IMPORTRANGE(""1FiGIDbWXbrw3ESuMmD14r8eot08bsJofQ75uiKf4zAA"", ""23yearsold 1차!B:C""), 2, FALSE), """")"),"")</f>
        <v/>
      </c>
      <c r="O233" s="106"/>
      <c r="P233" s="106"/>
      <c r="Q233" s="106"/>
      <c r="R233" s="106"/>
      <c r="U233" s="106"/>
      <c r="V233" s="106" t="str">
        <f ca="1">IFERROR(__xludf.DUMMYFUNCTION("IFERROR(VLOOKUP(TRIM(N233), IMPORTRANGE(""1FiGIDbWXbrw3ESuMmD14r8eot08bsJofQ75uiKf4zAA"", ""23yearsold 1차!B:F""), 5, FALSE), """")"),"")</f>
        <v/>
      </c>
    </row>
    <row r="234" spans="1:22" ht="13">
      <c r="A234" s="447" t="s">
        <v>1567</v>
      </c>
      <c r="B234" s="448" t="s">
        <v>1568</v>
      </c>
      <c r="C234" s="41"/>
      <c r="D234" s="449" t="s">
        <v>1569</v>
      </c>
      <c r="E234" s="432">
        <v>46161</v>
      </c>
      <c r="G234" s="32" t="s">
        <v>910</v>
      </c>
      <c r="H234" s="41" t="s">
        <v>1570</v>
      </c>
      <c r="I234" s="41"/>
      <c r="N234" s="325" t="s">
        <v>1571</v>
      </c>
      <c r="O234" s="90">
        <v>287</v>
      </c>
      <c r="P234" s="90">
        <v>53</v>
      </c>
      <c r="Q234" s="41"/>
      <c r="R234" s="41"/>
      <c r="U234" s="41"/>
      <c r="V234" s="41"/>
    </row>
    <row r="235" spans="1:22" ht="13">
      <c r="A235" s="450" t="s">
        <v>1572</v>
      </c>
      <c r="B235" s="480" t="s">
        <v>1573</v>
      </c>
      <c r="C235" s="106"/>
      <c r="D235" s="106"/>
      <c r="E235" s="472">
        <v>46171</v>
      </c>
      <c r="G235" s="32" t="s">
        <v>910</v>
      </c>
      <c r="H235" s="316" t="s">
        <v>1574</v>
      </c>
      <c r="I235" s="316"/>
      <c r="N235" s="106" t="s">
        <v>917</v>
      </c>
      <c r="O235" s="194">
        <v>836</v>
      </c>
      <c r="P235" s="194">
        <v>56</v>
      </c>
      <c r="Q235" s="106"/>
      <c r="R235" s="106"/>
      <c r="U235" s="106"/>
      <c r="V235" s="106" t="s">
        <v>917</v>
      </c>
    </row>
    <row r="236" spans="1:22" ht="13">
      <c r="A236" s="447" t="s">
        <v>1575</v>
      </c>
      <c r="B236" s="481" t="s">
        <v>1576</v>
      </c>
      <c r="C236" s="41"/>
      <c r="D236" s="41"/>
      <c r="E236" s="432">
        <v>46176</v>
      </c>
      <c r="G236" s="32" t="s">
        <v>910</v>
      </c>
      <c r="H236" s="41"/>
      <c r="I236" s="41"/>
      <c r="N236" s="325" t="s">
        <v>1577</v>
      </c>
      <c r="O236" s="41"/>
      <c r="P236" s="90">
        <v>52</v>
      </c>
      <c r="Q236" s="41"/>
      <c r="R236" s="41"/>
      <c r="U236" s="41"/>
      <c r="V236" s="41"/>
    </row>
    <row r="237" spans="1:22" ht="13">
      <c r="A237" s="450" t="s">
        <v>1578</v>
      </c>
      <c r="B237" s="480" t="s">
        <v>1579</v>
      </c>
      <c r="C237" s="106"/>
      <c r="D237" s="106"/>
      <c r="E237" s="472">
        <v>46174</v>
      </c>
      <c r="G237" s="32" t="s">
        <v>910</v>
      </c>
      <c r="H237" s="316" t="s">
        <v>1580</v>
      </c>
      <c r="I237" s="316"/>
      <c r="N237" s="106" t="str">
        <f ca="1">IFERROR(__xludf.DUMMYFUNCTION("IFERROR(VLOOKUP(TRIM(O237), IMPORTRANGE(""1FiGIDbWXbrw3ESuMmD14r8eot08bsJofQ75uiKf4zAA"", ""23yearsold 1차!B:C""), 2, FALSE), """")"),"")</f>
        <v/>
      </c>
      <c r="O237" s="194">
        <v>397</v>
      </c>
      <c r="P237" s="194">
        <v>39</v>
      </c>
      <c r="Q237" s="106"/>
      <c r="R237" s="106"/>
      <c r="U237" s="106"/>
      <c r="V237" s="106" t="str">
        <f ca="1">IFERROR(__xludf.DUMMYFUNCTION("IFERROR(VLOOKUP(TRIM(N237), IMPORTRANGE(""1FiGIDbWXbrw3ESuMmD14r8eot08bsJofQ75uiKf4zAA"", ""23yearsold 1차!B:F""), 5, FALSE), """")"),"")</f>
        <v/>
      </c>
    </row>
    <row r="238" spans="1:22" ht="13">
      <c r="A238" s="447" t="s">
        <v>1581</v>
      </c>
      <c r="B238" s="481" t="s">
        <v>1582</v>
      </c>
      <c r="C238" s="41"/>
      <c r="D238" s="41"/>
      <c r="E238" s="432">
        <v>46171</v>
      </c>
      <c r="G238" s="32" t="s">
        <v>910</v>
      </c>
      <c r="H238" s="325" t="s">
        <v>1583</v>
      </c>
      <c r="I238" s="325"/>
      <c r="N238" s="41"/>
      <c r="O238" s="90">
        <v>759</v>
      </c>
      <c r="P238" s="90">
        <v>31</v>
      </c>
      <c r="Q238" s="41"/>
      <c r="R238" s="41"/>
      <c r="U238" s="41"/>
      <c r="V238" s="41"/>
    </row>
    <row r="239" spans="1:22" ht="13">
      <c r="A239" s="450" t="s">
        <v>1584</v>
      </c>
      <c r="B239" s="482" t="s">
        <v>1585</v>
      </c>
      <c r="C239" s="106"/>
      <c r="D239" s="106"/>
      <c r="E239" s="472">
        <v>46178</v>
      </c>
      <c r="G239" s="32" t="s">
        <v>910</v>
      </c>
      <c r="H239" s="316" t="s">
        <v>1586</v>
      </c>
      <c r="I239" s="316"/>
      <c r="N239" s="106" t="str">
        <f ca="1">IFERROR(__xludf.DUMMYFUNCTION("IFERROR(VLOOKUP(TRIM(O239), IMPORTRANGE(""1FiGIDbWXbrw3ESuMmD14r8eot08bsJofQ75uiKf4zAA"", ""23yearsold 1차!B:C""), 2, FALSE), """")"),"")</f>
        <v/>
      </c>
      <c r="O239" s="194">
        <v>9</v>
      </c>
      <c r="P239" s="194">
        <v>1</v>
      </c>
      <c r="Q239" s="106"/>
      <c r="R239" s="106"/>
      <c r="U239" s="106"/>
      <c r="V239" s="106" t="str">
        <f ca="1">IFERROR(__xludf.DUMMYFUNCTION("IFERROR(VLOOKUP(TRIM(N239), IMPORTRANGE(""1FiGIDbWXbrw3ESuMmD14r8eot08bsJofQ75uiKf4zAA"", ""23yearsold 1차!B:F""), 5, FALSE), """")"),"")</f>
        <v/>
      </c>
    </row>
    <row r="240" spans="1:22" ht="13">
      <c r="A240" s="459" t="s">
        <v>1587</v>
      </c>
      <c r="B240" s="483" t="s">
        <v>1588</v>
      </c>
      <c r="C240" s="36"/>
      <c r="D240" s="36"/>
      <c r="E240" s="432">
        <v>46175</v>
      </c>
      <c r="G240" s="32" t="s">
        <v>910</v>
      </c>
      <c r="H240" s="325" t="s">
        <v>1589</v>
      </c>
      <c r="I240" s="325"/>
      <c r="N240" s="41" t="str">
        <f ca="1">IFERROR(__xludf.DUMMYFUNCTION("IFERROR(VLOOKUP(TRIM(O240), IMPORTRANGE(""1FiGIDbWXbrw3ESuMmD14r8eot08bsJofQ75uiKf4zAA"", ""23yearsold 1차!B:C""), 2, FALSE), """")"),"")</f>
        <v/>
      </c>
      <c r="O240" s="90">
        <v>456</v>
      </c>
      <c r="P240" s="90">
        <v>24</v>
      </c>
      <c r="Q240" s="41"/>
      <c r="R240" s="41"/>
      <c r="U240" s="41"/>
      <c r="V240" s="41" t="str">
        <f ca="1">IFERROR(__xludf.DUMMYFUNCTION("IFERROR(VLOOKUP(TRIM(N240), IMPORTRANGE(""1FiGIDbWXbrw3ESuMmD14r8eot08bsJofQ75uiKf4zAA"", ""23yearsold 1차!B:F""), 5, FALSE), """")"),"")</f>
        <v/>
      </c>
    </row>
    <row r="241" spans="1:22" ht="13">
      <c r="A241" s="484" t="s">
        <v>1108</v>
      </c>
      <c r="B241" s="485" t="s">
        <v>1109</v>
      </c>
      <c r="C241" s="486" t="s">
        <v>1590</v>
      </c>
      <c r="D241" s="486" t="s">
        <v>1111</v>
      </c>
      <c r="E241" s="468"/>
      <c r="G241" s="32" t="s">
        <v>910</v>
      </c>
      <c r="H241" s="32"/>
      <c r="I241" s="32"/>
      <c r="N241" s="106"/>
      <c r="O241" s="106"/>
      <c r="P241" s="106"/>
      <c r="Q241" s="106"/>
      <c r="R241" s="106"/>
      <c r="T241" s="106"/>
      <c r="U241" s="106"/>
      <c r="V241" s="106"/>
    </row>
    <row r="242" spans="1:22" ht="13">
      <c r="A242" s="484" t="s">
        <v>1591</v>
      </c>
      <c r="B242" s="487" t="s">
        <v>1078</v>
      </c>
      <c r="C242" s="488"/>
      <c r="D242" s="488"/>
      <c r="E242" s="461"/>
      <c r="G242" s="32" t="s">
        <v>910</v>
      </c>
      <c r="H242" s="32"/>
      <c r="I242" s="32"/>
      <c r="N242" s="41"/>
      <c r="O242" s="41"/>
      <c r="P242" s="41"/>
      <c r="Q242" s="41"/>
      <c r="R242" s="41"/>
      <c r="T242" s="41"/>
      <c r="U242" s="41"/>
      <c r="V242" s="41"/>
    </row>
    <row r="243" spans="1:22" ht="13">
      <c r="A243" s="484" t="s">
        <v>1243</v>
      </c>
      <c r="B243" s="487" t="s">
        <v>1592</v>
      </c>
      <c r="C243" s="488"/>
      <c r="D243" s="486" t="s">
        <v>1245</v>
      </c>
      <c r="E243" s="468"/>
      <c r="G243" s="32" t="s">
        <v>910</v>
      </c>
      <c r="H243" s="32"/>
      <c r="I243" s="32"/>
      <c r="N243" s="106"/>
      <c r="O243" s="106"/>
      <c r="P243" s="106"/>
      <c r="Q243" s="106"/>
      <c r="R243" s="106"/>
      <c r="T243" s="106"/>
      <c r="U243" s="106"/>
      <c r="V243" s="106"/>
    </row>
    <row r="244" spans="1:22" ht="13">
      <c r="A244" s="484" t="s">
        <v>1155</v>
      </c>
      <c r="B244" s="487" t="s">
        <v>1593</v>
      </c>
      <c r="C244" s="488"/>
      <c r="D244" s="486" t="s">
        <v>1156</v>
      </c>
      <c r="E244" s="461"/>
      <c r="G244" s="32" t="s">
        <v>910</v>
      </c>
      <c r="H244" s="32"/>
      <c r="I244" s="32"/>
      <c r="N244" s="41"/>
      <c r="O244" s="41"/>
      <c r="P244" s="41"/>
      <c r="Q244" s="41"/>
      <c r="R244" s="41"/>
      <c r="T244" s="41"/>
      <c r="U244" s="41"/>
      <c r="V244" s="41"/>
    </row>
    <row r="245" spans="1:22" ht="13">
      <c r="A245" s="484" t="s">
        <v>1336</v>
      </c>
      <c r="B245" s="487" t="s">
        <v>1337</v>
      </c>
      <c r="C245" s="488"/>
      <c r="D245" s="486" t="s">
        <v>1338</v>
      </c>
      <c r="E245" s="468"/>
      <c r="G245" s="32" t="s">
        <v>910</v>
      </c>
      <c r="H245" s="32"/>
      <c r="I245" s="32"/>
      <c r="N245" s="106"/>
      <c r="O245" s="106"/>
      <c r="P245" s="106"/>
      <c r="Q245" s="106"/>
      <c r="R245" s="106"/>
      <c r="T245" s="106"/>
      <c r="U245" s="106"/>
      <c r="V245" s="106"/>
    </row>
    <row r="246" spans="1:22" ht="13">
      <c r="A246" s="484" t="s">
        <v>1236</v>
      </c>
      <c r="B246" s="487" t="s">
        <v>1594</v>
      </c>
      <c r="C246" s="488"/>
      <c r="D246" s="486" t="s">
        <v>1238</v>
      </c>
      <c r="E246" s="461"/>
      <c r="G246" s="32" t="s">
        <v>910</v>
      </c>
      <c r="H246" s="32"/>
      <c r="I246" s="32"/>
      <c r="N246" s="41"/>
      <c r="O246" s="41"/>
      <c r="P246" s="41"/>
      <c r="Q246" s="41"/>
      <c r="R246" s="41"/>
      <c r="T246" s="41"/>
      <c r="U246" s="41"/>
      <c r="V246" s="41"/>
    </row>
    <row r="247" spans="1:22" ht="13">
      <c r="A247" s="106"/>
      <c r="B247" s="106"/>
      <c r="C247" s="106"/>
      <c r="D247" s="106"/>
      <c r="E247" s="468"/>
      <c r="G247" s="106"/>
      <c r="H247" s="106"/>
      <c r="I247" s="106"/>
    </row>
    <row r="248" spans="1:22" ht="13">
      <c r="A248" s="41"/>
      <c r="B248" s="41"/>
      <c r="C248" s="41"/>
      <c r="D248" s="41"/>
      <c r="E248" s="461"/>
      <c r="G248" s="41"/>
      <c r="H248" s="41"/>
      <c r="I248" s="41"/>
    </row>
    <row r="249" spans="1:22" ht="13">
      <c r="A249" s="41"/>
      <c r="B249" s="41"/>
      <c r="C249" s="41"/>
      <c r="D249" s="41"/>
      <c r="E249" s="468"/>
      <c r="G249" s="41"/>
      <c r="H249" s="41"/>
      <c r="I249" s="41"/>
    </row>
    <row r="250" spans="1:22" ht="13">
      <c r="A250" s="41"/>
      <c r="B250" s="41"/>
      <c r="C250" s="41"/>
      <c r="D250" s="41"/>
      <c r="E250" s="461"/>
      <c r="G250" s="41"/>
      <c r="H250" s="41"/>
      <c r="I250" s="41"/>
    </row>
    <row r="251" spans="1:22" ht="13">
      <c r="A251" s="41"/>
      <c r="B251" s="41"/>
      <c r="C251" s="41"/>
      <c r="D251" s="41"/>
      <c r="E251" s="468"/>
      <c r="G251" s="41"/>
      <c r="H251" s="41"/>
      <c r="I251" s="41"/>
    </row>
    <row r="252" spans="1:22" ht="13">
      <c r="A252" s="44"/>
      <c r="B252" s="179"/>
      <c r="C252" s="414"/>
      <c r="D252" s="414"/>
      <c r="E252" s="44"/>
      <c r="H252" s="44"/>
    </row>
    <row r="253" spans="1:22" ht="13">
      <c r="A253" s="44"/>
      <c r="B253" s="179"/>
      <c r="C253" s="414"/>
      <c r="D253" s="414"/>
      <c r="E253" s="44"/>
      <c r="H253" s="44"/>
    </row>
    <row r="254" spans="1:22" ht="13">
      <c r="A254" s="44"/>
      <c r="B254" s="179"/>
      <c r="C254" s="414"/>
      <c r="D254" s="414"/>
      <c r="E254" s="44"/>
      <c r="H254" s="44"/>
    </row>
    <row r="255" spans="1:22" ht="13">
      <c r="A255" s="44"/>
      <c r="B255" s="179"/>
      <c r="C255" s="414"/>
      <c r="D255" s="414"/>
      <c r="E255" s="44"/>
      <c r="H255" s="44"/>
    </row>
    <row r="256" spans="1:22" ht="13">
      <c r="A256" s="44"/>
      <c r="B256" s="179"/>
      <c r="C256" s="414"/>
      <c r="D256" s="414"/>
      <c r="E256" s="44"/>
      <c r="H256" s="44"/>
    </row>
    <row r="257" spans="1:8" ht="13">
      <c r="A257" s="44"/>
      <c r="B257" s="179"/>
      <c r="C257" s="414"/>
      <c r="D257" s="414"/>
      <c r="E257" s="44"/>
      <c r="H257" s="44"/>
    </row>
    <row r="258" spans="1:8" ht="13">
      <c r="A258" s="44"/>
      <c r="B258" s="179"/>
      <c r="C258" s="414"/>
      <c r="D258" s="414"/>
      <c r="E258" s="44"/>
      <c r="H258" s="44"/>
    </row>
    <row r="259" spans="1:8" ht="13">
      <c r="A259" s="44"/>
      <c r="B259" s="179"/>
      <c r="C259" s="414"/>
      <c r="D259" s="414"/>
      <c r="E259" s="44"/>
      <c r="H259" s="44"/>
    </row>
    <row r="260" spans="1:8" ht="13">
      <c r="A260" s="44"/>
      <c r="B260" s="179"/>
      <c r="C260" s="414"/>
      <c r="D260" s="414"/>
      <c r="E260" s="44"/>
      <c r="H260" s="44"/>
    </row>
    <row r="261" spans="1:8" ht="13">
      <c r="A261" s="44"/>
      <c r="B261" s="179"/>
      <c r="C261" s="414"/>
      <c r="D261" s="414"/>
      <c r="E261" s="44"/>
      <c r="H261" s="44"/>
    </row>
    <row r="262" spans="1:8" ht="13">
      <c r="A262" s="44"/>
      <c r="B262" s="179"/>
      <c r="C262" s="414"/>
      <c r="D262" s="414"/>
      <c r="E262" s="44"/>
      <c r="H262" s="44"/>
    </row>
    <row r="263" spans="1:8" ht="13">
      <c r="A263" s="44"/>
      <c r="B263" s="179"/>
      <c r="C263" s="414"/>
      <c r="D263" s="414"/>
      <c r="E263" s="44"/>
      <c r="H263" s="44"/>
    </row>
    <row r="264" spans="1:8" ht="13">
      <c r="A264" s="44"/>
      <c r="B264" s="179"/>
      <c r="C264" s="414"/>
      <c r="D264" s="414"/>
      <c r="E264" s="44"/>
      <c r="H264" s="44"/>
    </row>
    <row r="265" spans="1:8" ht="13">
      <c r="A265" s="44"/>
      <c r="B265" s="179"/>
      <c r="C265" s="414"/>
      <c r="D265" s="414"/>
      <c r="E265" s="44"/>
      <c r="H265" s="44"/>
    </row>
    <row r="266" spans="1:8" ht="13">
      <c r="A266" s="44"/>
      <c r="B266" s="179"/>
      <c r="C266" s="414"/>
      <c r="D266" s="414"/>
      <c r="E266" s="44"/>
      <c r="H266" s="44"/>
    </row>
    <row r="267" spans="1:8" ht="13">
      <c r="A267" s="44"/>
      <c r="B267" s="179"/>
      <c r="C267" s="414"/>
      <c r="D267" s="414"/>
      <c r="E267" s="44"/>
      <c r="H267" s="44"/>
    </row>
    <row r="268" spans="1:8" ht="13">
      <c r="A268" s="44"/>
      <c r="B268" s="179"/>
      <c r="C268" s="414"/>
      <c r="D268" s="414"/>
      <c r="E268" s="44"/>
      <c r="H268" s="44"/>
    </row>
    <row r="269" spans="1:8" ht="13">
      <c r="A269" s="44"/>
      <c r="B269" s="179"/>
      <c r="C269" s="414"/>
      <c r="D269" s="414"/>
      <c r="E269" s="44"/>
      <c r="H269" s="44"/>
    </row>
    <row r="270" spans="1:8" ht="13">
      <c r="A270" s="44"/>
      <c r="B270" s="179"/>
      <c r="C270" s="414"/>
      <c r="D270" s="414"/>
      <c r="E270" s="44"/>
      <c r="H270" s="44"/>
    </row>
    <row r="271" spans="1:8" ht="13">
      <c r="A271" s="44"/>
      <c r="B271" s="179"/>
      <c r="C271" s="414"/>
      <c r="D271" s="414"/>
      <c r="E271" s="44"/>
      <c r="H271" s="44"/>
    </row>
    <row r="272" spans="1:8" ht="13">
      <c r="A272" s="44"/>
      <c r="B272" s="179"/>
      <c r="C272" s="414"/>
      <c r="D272" s="414"/>
      <c r="E272" s="44"/>
      <c r="H272" s="44"/>
    </row>
    <row r="273" spans="1:8" ht="13">
      <c r="A273" s="44"/>
      <c r="B273" s="179"/>
      <c r="C273" s="414"/>
      <c r="D273" s="414"/>
      <c r="E273" s="44"/>
      <c r="H273" s="44"/>
    </row>
    <row r="274" spans="1:8" ht="13">
      <c r="A274" s="44"/>
      <c r="B274" s="179"/>
      <c r="C274" s="414"/>
      <c r="D274" s="414"/>
      <c r="E274" s="44"/>
      <c r="H274" s="44"/>
    </row>
    <row r="275" spans="1:8" ht="13">
      <c r="A275" s="44"/>
      <c r="B275" s="179"/>
      <c r="C275" s="414"/>
      <c r="D275" s="414"/>
      <c r="E275" s="44"/>
      <c r="H275" s="44"/>
    </row>
    <row r="276" spans="1:8" ht="13">
      <c r="A276" s="44"/>
      <c r="B276" s="179"/>
      <c r="C276" s="414"/>
      <c r="D276" s="414"/>
      <c r="E276" s="44"/>
      <c r="H276" s="44"/>
    </row>
    <row r="277" spans="1:8" ht="13">
      <c r="A277" s="44"/>
      <c r="B277" s="179"/>
      <c r="C277" s="414"/>
      <c r="D277" s="414"/>
      <c r="E277" s="44"/>
      <c r="H277" s="44"/>
    </row>
    <row r="278" spans="1:8" ht="13">
      <c r="A278" s="44"/>
      <c r="B278" s="179"/>
      <c r="C278" s="414"/>
      <c r="D278" s="414"/>
      <c r="E278" s="44"/>
      <c r="H278" s="44"/>
    </row>
    <row r="279" spans="1:8" ht="13">
      <c r="A279" s="44"/>
      <c r="B279" s="179"/>
      <c r="C279" s="414"/>
      <c r="D279" s="414"/>
      <c r="E279" s="44"/>
      <c r="H279" s="44"/>
    </row>
    <row r="280" spans="1:8" ht="13">
      <c r="A280" s="44"/>
      <c r="B280" s="179"/>
      <c r="C280" s="414"/>
      <c r="D280" s="414"/>
      <c r="E280" s="44"/>
      <c r="H280" s="44"/>
    </row>
    <row r="281" spans="1:8" ht="13">
      <c r="A281" s="44"/>
      <c r="B281" s="179"/>
      <c r="C281" s="414"/>
      <c r="D281" s="414"/>
      <c r="E281" s="44"/>
      <c r="H281" s="44"/>
    </row>
    <row r="282" spans="1:8" ht="13">
      <c r="A282" s="44"/>
      <c r="B282" s="179"/>
      <c r="C282" s="414"/>
      <c r="D282" s="414"/>
      <c r="E282" s="44"/>
      <c r="H282" s="44"/>
    </row>
    <row r="283" spans="1:8" ht="13">
      <c r="A283" s="44"/>
      <c r="B283" s="179"/>
      <c r="C283" s="414"/>
      <c r="D283" s="414"/>
      <c r="E283" s="44"/>
      <c r="H283" s="44"/>
    </row>
    <row r="284" spans="1:8" ht="13">
      <c r="A284" s="44"/>
      <c r="B284" s="179"/>
      <c r="C284" s="414"/>
      <c r="D284" s="414"/>
      <c r="E284" s="44"/>
      <c r="H284" s="44"/>
    </row>
    <row r="285" spans="1:8" ht="13">
      <c r="A285" s="44"/>
      <c r="B285" s="179"/>
      <c r="C285" s="414"/>
      <c r="D285" s="414"/>
      <c r="E285" s="44"/>
      <c r="H285" s="44"/>
    </row>
    <row r="286" spans="1:8" ht="13">
      <c r="A286" s="44"/>
      <c r="B286" s="179"/>
      <c r="C286" s="414"/>
      <c r="D286" s="414"/>
      <c r="E286" s="44"/>
      <c r="H286" s="44"/>
    </row>
    <row r="287" spans="1:8" ht="13">
      <c r="A287" s="44"/>
      <c r="B287" s="179"/>
      <c r="C287" s="414"/>
      <c r="D287" s="414"/>
      <c r="E287" s="44"/>
      <c r="H287" s="44"/>
    </row>
    <row r="288" spans="1:8" ht="13">
      <c r="A288" s="44"/>
      <c r="B288" s="179"/>
      <c r="C288" s="414"/>
      <c r="D288" s="414"/>
      <c r="E288" s="44"/>
      <c r="H288" s="44"/>
    </row>
    <row r="289" spans="1:8" ht="13">
      <c r="A289" s="44"/>
      <c r="B289" s="179"/>
      <c r="C289" s="414"/>
      <c r="D289" s="414"/>
      <c r="E289" s="44"/>
      <c r="H289" s="44"/>
    </row>
    <row r="290" spans="1:8" ht="13">
      <c r="A290" s="44"/>
      <c r="B290" s="179"/>
      <c r="C290" s="414"/>
      <c r="D290" s="414"/>
      <c r="E290" s="44"/>
      <c r="H290" s="44"/>
    </row>
    <row r="291" spans="1:8" ht="13">
      <c r="A291" s="44"/>
      <c r="B291" s="179"/>
      <c r="C291" s="414"/>
      <c r="D291" s="414"/>
      <c r="E291" s="44"/>
      <c r="H291" s="44"/>
    </row>
    <row r="292" spans="1:8" ht="13">
      <c r="A292" s="44"/>
      <c r="B292" s="179"/>
      <c r="C292" s="414"/>
      <c r="D292" s="414"/>
      <c r="E292" s="44"/>
      <c r="H292" s="44"/>
    </row>
    <row r="293" spans="1:8" ht="13">
      <c r="A293" s="44"/>
      <c r="B293" s="179"/>
      <c r="C293" s="414"/>
      <c r="D293" s="414"/>
      <c r="E293" s="44"/>
      <c r="H293" s="44"/>
    </row>
    <row r="294" spans="1:8" ht="13">
      <c r="A294" s="44"/>
      <c r="B294" s="179"/>
      <c r="C294" s="414"/>
      <c r="D294" s="414"/>
      <c r="E294" s="44"/>
      <c r="H294" s="44"/>
    </row>
    <row r="295" spans="1:8" ht="13">
      <c r="A295" s="44"/>
      <c r="B295" s="179"/>
      <c r="C295" s="414"/>
      <c r="D295" s="414"/>
      <c r="E295" s="44"/>
      <c r="H295" s="44"/>
    </row>
    <row r="296" spans="1:8" ht="13">
      <c r="A296" s="44"/>
      <c r="B296" s="179"/>
      <c r="C296" s="414"/>
      <c r="D296" s="414"/>
      <c r="E296" s="44"/>
      <c r="H296" s="44"/>
    </row>
    <row r="297" spans="1:8" ht="13">
      <c r="A297" s="44"/>
      <c r="B297" s="179"/>
      <c r="C297" s="414"/>
      <c r="D297" s="414"/>
      <c r="E297" s="44"/>
      <c r="H297" s="44"/>
    </row>
    <row r="298" spans="1:8" ht="13">
      <c r="A298" s="44"/>
      <c r="B298" s="179"/>
      <c r="C298" s="414"/>
      <c r="D298" s="414"/>
      <c r="E298" s="44"/>
      <c r="H298" s="44"/>
    </row>
    <row r="299" spans="1:8" ht="13">
      <c r="A299" s="44"/>
      <c r="B299" s="179"/>
      <c r="C299" s="414"/>
      <c r="D299" s="414"/>
      <c r="E299" s="44"/>
      <c r="H299" s="44"/>
    </row>
    <row r="300" spans="1:8" ht="13">
      <c r="A300" s="44"/>
      <c r="B300" s="179"/>
      <c r="C300" s="414"/>
      <c r="D300" s="414"/>
      <c r="E300" s="44"/>
      <c r="H300" s="44"/>
    </row>
    <row r="301" spans="1:8" ht="13">
      <c r="A301" s="44"/>
      <c r="B301" s="179"/>
      <c r="C301" s="414"/>
      <c r="D301" s="414"/>
      <c r="E301" s="44"/>
      <c r="H301" s="44"/>
    </row>
    <row r="302" spans="1:8" ht="13">
      <c r="A302" s="44"/>
      <c r="B302" s="179"/>
      <c r="C302" s="414"/>
      <c r="D302" s="414"/>
      <c r="E302" s="44"/>
      <c r="H302" s="44"/>
    </row>
    <row r="303" spans="1:8" ht="13">
      <c r="A303" s="44"/>
      <c r="B303" s="179"/>
      <c r="C303" s="414"/>
      <c r="D303" s="414"/>
      <c r="E303" s="44"/>
      <c r="H303" s="44"/>
    </row>
    <row r="304" spans="1:8" ht="13">
      <c r="A304" s="44"/>
      <c r="B304" s="179"/>
      <c r="C304" s="414"/>
      <c r="D304" s="414"/>
      <c r="E304" s="44"/>
      <c r="H304" s="44"/>
    </row>
    <row r="305" spans="1:8" ht="13">
      <c r="A305" s="44"/>
      <c r="B305" s="179"/>
      <c r="C305" s="414"/>
      <c r="D305" s="414"/>
      <c r="E305" s="44"/>
      <c r="H305" s="44"/>
    </row>
    <row r="306" spans="1:8" ht="13">
      <c r="A306" s="44"/>
      <c r="B306" s="179"/>
      <c r="C306" s="414"/>
      <c r="D306" s="414"/>
      <c r="E306" s="44"/>
      <c r="H306" s="44"/>
    </row>
    <row r="307" spans="1:8" ht="13">
      <c r="A307" s="44"/>
      <c r="B307" s="179"/>
      <c r="C307" s="414"/>
      <c r="D307" s="414"/>
      <c r="E307" s="44"/>
      <c r="H307" s="44"/>
    </row>
    <row r="308" spans="1:8" ht="13">
      <c r="A308" s="44"/>
      <c r="B308" s="179"/>
      <c r="C308" s="414"/>
      <c r="D308" s="414"/>
      <c r="E308" s="44"/>
      <c r="H308" s="44"/>
    </row>
    <row r="309" spans="1:8" ht="13">
      <c r="A309" s="44"/>
      <c r="B309" s="179"/>
      <c r="C309" s="414"/>
      <c r="D309" s="414"/>
      <c r="E309" s="44"/>
      <c r="H309" s="44"/>
    </row>
    <row r="310" spans="1:8" ht="13">
      <c r="A310" s="44"/>
      <c r="B310" s="179"/>
      <c r="C310" s="414"/>
      <c r="D310" s="414"/>
      <c r="E310" s="44"/>
      <c r="H310" s="44"/>
    </row>
    <row r="311" spans="1:8" ht="13">
      <c r="A311" s="44"/>
      <c r="B311" s="179"/>
      <c r="C311" s="414"/>
      <c r="D311" s="414"/>
      <c r="E311" s="44"/>
      <c r="H311" s="44"/>
    </row>
    <row r="312" spans="1:8" ht="13">
      <c r="A312" s="44"/>
      <c r="B312" s="179"/>
      <c r="C312" s="414"/>
      <c r="D312" s="414"/>
      <c r="E312" s="44"/>
      <c r="H312" s="44"/>
    </row>
    <row r="313" spans="1:8" ht="13">
      <c r="A313" s="44"/>
      <c r="B313" s="179"/>
      <c r="C313" s="414"/>
      <c r="D313" s="414"/>
      <c r="E313" s="44"/>
      <c r="H313" s="44"/>
    </row>
    <row r="314" spans="1:8" ht="13">
      <c r="A314" s="44"/>
      <c r="B314" s="179"/>
      <c r="C314" s="414"/>
      <c r="D314" s="414"/>
      <c r="E314" s="44"/>
      <c r="H314" s="44"/>
    </row>
    <row r="315" spans="1:8" ht="13">
      <c r="A315" s="44"/>
      <c r="B315" s="179"/>
      <c r="C315" s="414"/>
      <c r="D315" s="414"/>
      <c r="E315" s="44"/>
      <c r="H315" s="44"/>
    </row>
    <row r="316" spans="1:8" ht="13">
      <c r="A316" s="44"/>
      <c r="B316" s="179"/>
      <c r="C316" s="414"/>
      <c r="D316" s="414"/>
      <c r="E316" s="44"/>
      <c r="H316" s="44"/>
    </row>
    <row r="317" spans="1:8" ht="13">
      <c r="A317" s="44"/>
      <c r="B317" s="179"/>
      <c r="C317" s="414"/>
      <c r="D317" s="414"/>
      <c r="E317" s="44"/>
      <c r="H317" s="44"/>
    </row>
    <row r="318" spans="1:8" ht="13">
      <c r="A318" s="44"/>
      <c r="B318" s="179"/>
      <c r="C318" s="414"/>
      <c r="D318" s="414"/>
      <c r="E318" s="44"/>
      <c r="H318" s="44"/>
    </row>
    <row r="319" spans="1:8" ht="13">
      <c r="A319" s="44"/>
      <c r="B319" s="179"/>
      <c r="C319" s="414"/>
      <c r="D319" s="414"/>
      <c r="E319" s="44"/>
      <c r="H319" s="44"/>
    </row>
    <row r="320" spans="1:8" ht="13">
      <c r="A320" s="44"/>
      <c r="B320" s="179"/>
      <c r="C320" s="414"/>
      <c r="D320" s="414"/>
      <c r="E320" s="44"/>
      <c r="H320" s="44"/>
    </row>
    <row r="321" spans="1:8" ht="13">
      <c r="A321" s="44"/>
      <c r="B321" s="179"/>
      <c r="C321" s="414"/>
      <c r="D321" s="414"/>
      <c r="E321" s="44"/>
      <c r="H321" s="44"/>
    </row>
    <row r="322" spans="1:8" ht="13">
      <c r="A322" s="44"/>
      <c r="B322" s="179"/>
      <c r="C322" s="414"/>
      <c r="D322" s="414"/>
      <c r="E322" s="44"/>
      <c r="H322" s="44"/>
    </row>
    <row r="323" spans="1:8" ht="13">
      <c r="A323" s="44"/>
      <c r="B323" s="179"/>
      <c r="C323" s="414"/>
      <c r="D323" s="414"/>
      <c r="E323" s="44"/>
      <c r="H323" s="44"/>
    </row>
    <row r="324" spans="1:8" ht="13">
      <c r="A324" s="44"/>
      <c r="B324" s="179"/>
      <c r="C324" s="414"/>
      <c r="D324" s="414"/>
      <c r="E324" s="44"/>
      <c r="H324" s="44"/>
    </row>
    <row r="325" spans="1:8" ht="13">
      <c r="A325" s="44"/>
      <c r="B325" s="179"/>
      <c r="C325" s="414"/>
      <c r="D325" s="414"/>
      <c r="E325" s="44"/>
      <c r="H325" s="44"/>
    </row>
    <row r="326" spans="1:8" ht="13">
      <c r="A326" s="44"/>
      <c r="B326" s="179"/>
      <c r="C326" s="414"/>
      <c r="D326" s="414"/>
      <c r="E326" s="44"/>
      <c r="H326" s="44"/>
    </row>
    <row r="327" spans="1:8" ht="13">
      <c r="A327" s="44"/>
      <c r="B327" s="179"/>
      <c r="C327" s="414"/>
      <c r="D327" s="414"/>
      <c r="E327" s="44"/>
      <c r="H327" s="44"/>
    </row>
    <row r="328" spans="1:8" ht="13">
      <c r="A328" s="44"/>
      <c r="B328" s="179"/>
      <c r="C328" s="414"/>
      <c r="D328" s="414"/>
      <c r="E328" s="44"/>
      <c r="H328" s="44"/>
    </row>
    <row r="329" spans="1:8" ht="13">
      <c r="A329" s="44"/>
      <c r="B329" s="179"/>
      <c r="C329" s="414"/>
      <c r="D329" s="414"/>
      <c r="E329" s="44"/>
      <c r="H329" s="44"/>
    </row>
    <row r="330" spans="1:8" ht="13">
      <c r="A330" s="44"/>
      <c r="B330" s="179"/>
      <c r="C330" s="414"/>
      <c r="D330" s="414"/>
      <c r="E330" s="44"/>
      <c r="H330" s="44"/>
    </row>
    <row r="331" spans="1:8" ht="13">
      <c r="A331" s="44"/>
      <c r="B331" s="179"/>
      <c r="C331" s="414"/>
      <c r="D331" s="414"/>
      <c r="E331" s="44"/>
      <c r="H331" s="44"/>
    </row>
    <row r="332" spans="1:8" ht="13">
      <c r="A332" s="44"/>
      <c r="B332" s="179"/>
      <c r="C332" s="414"/>
      <c r="D332" s="414"/>
      <c r="E332" s="44"/>
      <c r="H332" s="44"/>
    </row>
    <row r="333" spans="1:8" ht="13">
      <c r="A333" s="44"/>
      <c r="B333" s="179"/>
      <c r="C333" s="414"/>
      <c r="D333" s="414"/>
      <c r="E333" s="44"/>
      <c r="H333" s="44"/>
    </row>
    <row r="334" spans="1:8" ht="13">
      <c r="A334" s="44"/>
      <c r="B334" s="179"/>
      <c r="C334" s="414"/>
      <c r="D334" s="414"/>
      <c r="E334" s="44"/>
      <c r="H334" s="44"/>
    </row>
    <row r="335" spans="1:8" ht="13">
      <c r="A335" s="44"/>
      <c r="B335" s="179"/>
      <c r="C335" s="414"/>
      <c r="D335" s="414"/>
      <c r="E335" s="44"/>
      <c r="H335" s="44"/>
    </row>
    <row r="336" spans="1:8" ht="13">
      <c r="A336" s="44"/>
      <c r="B336" s="179"/>
      <c r="C336" s="414"/>
      <c r="D336" s="414"/>
      <c r="E336" s="44"/>
      <c r="H336" s="44"/>
    </row>
    <row r="337" spans="1:8" ht="13">
      <c r="A337" s="44"/>
      <c r="B337" s="179"/>
      <c r="C337" s="414"/>
      <c r="D337" s="414"/>
      <c r="E337" s="44"/>
      <c r="H337" s="44"/>
    </row>
    <row r="338" spans="1:8" ht="13">
      <c r="A338" s="44"/>
      <c r="B338" s="179"/>
      <c r="C338" s="414"/>
      <c r="D338" s="414"/>
      <c r="E338" s="44"/>
      <c r="H338" s="44"/>
    </row>
    <row r="339" spans="1:8" ht="13">
      <c r="A339" s="44"/>
      <c r="B339" s="179"/>
      <c r="C339" s="414"/>
      <c r="D339" s="414"/>
      <c r="E339" s="44"/>
      <c r="H339" s="44"/>
    </row>
    <row r="340" spans="1:8" ht="13">
      <c r="A340" s="44"/>
      <c r="B340" s="179"/>
      <c r="C340" s="414"/>
      <c r="D340" s="414"/>
      <c r="E340" s="44"/>
      <c r="H340" s="44"/>
    </row>
    <row r="341" spans="1:8" ht="13">
      <c r="A341" s="44"/>
      <c r="B341" s="179"/>
      <c r="C341" s="414"/>
      <c r="D341" s="414"/>
      <c r="E341" s="44"/>
      <c r="H341" s="44"/>
    </row>
    <row r="342" spans="1:8" ht="13">
      <c r="A342" s="44"/>
      <c r="B342" s="179"/>
      <c r="C342" s="414"/>
      <c r="D342" s="414"/>
      <c r="E342" s="44"/>
      <c r="H342" s="44"/>
    </row>
    <row r="343" spans="1:8" ht="13">
      <c r="A343" s="44"/>
      <c r="B343" s="179"/>
      <c r="C343" s="414"/>
      <c r="D343" s="414"/>
      <c r="E343" s="44"/>
      <c r="H343" s="44"/>
    </row>
    <row r="344" spans="1:8" ht="13">
      <c r="A344" s="44"/>
      <c r="B344" s="179"/>
      <c r="C344" s="414"/>
      <c r="D344" s="414"/>
      <c r="E344" s="44"/>
      <c r="H344" s="44"/>
    </row>
    <row r="345" spans="1:8" ht="13">
      <c r="A345" s="44"/>
      <c r="B345" s="179"/>
      <c r="C345" s="414"/>
      <c r="D345" s="414"/>
      <c r="E345" s="44"/>
      <c r="H345" s="44"/>
    </row>
    <row r="346" spans="1:8" ht="13">
      <c r="A346" s="44"/>
      <c r="B346" s="179"/>
      <c r="C346" s="414"/>
      <c r="D346" s="414"/>
      <c r="E346" s="44"/>
      <c r="H346" s="44"/>
    </row>
    <row r="347" spans="1:8" ht="13">
      <c r="A347" s="44"/>
      <c r="B347" s="179"/>
      <c r="C347" s="414"/>
      <c r="D347" s="414"/>
      <c r="E347" s="44"/>
      <c r="H347" s="44"/>
    </row>
    <row r="348" spans="1:8" ht="13">
      <c r="A348" s="44"/>
      <c r="B348" s="179"/>
      <c r="C348" s="414"/>
      <c r="D348" s="414"/>
      <c r="E348" s="44"/>
      <c r="H348" s="44"/>
    </row>
    <row r="349" spans="1:8" ht="13">
      <c r="A349" s="44"/>
      <c r="B349" s="179"/>
      <c r="C349" s="414"/>
      <c r="D349" s="414"/>
      <c r="E349" s="44"/>
      <c r="H349" s="44"/>
    </row>
    <row r="350" spans="1:8" ht="13">
      <c r="A350" s="44"/>
      <c r="B350" s="179"/>
      <c r="C350" s="414"/>
      <c r="D350" s="414"/>
      <c r="E350" s="44"/>
      <c r="H350" s="44"/>
    </row>
    <row r="351" spans="1:8" ht="13">
      <c r="A351" s="44"/>
      <c r="B351" s="179"/>
      <c r="C351" s="414"/>
      <c r="D351" s="414"/>
      <c r="E351" s="44"/>
      <c r="H351" s="44"/>
    </row>
    <row r="352" spans="1:8" ht="13">
      <c r="A352" s="44"/>
      <c r="B352" s="179"/>
      <c r="C352" s="414"/>
      <c r="D352" s="414"/>
      <c r="E352" s="44"/>
      <c r="H352" s="44"/>
    </row>
    <row r="353" spans="1:8" ht="13">
      <c r="A353" s="44"/>
      <c r="B353" s="179"/>
      <c r="C353" s="414"/>
      <c r="D353" s="414"/>
      <c r="E353" s="44"/>
      <c r="H353" s="44"/>
    </row>
    <row r="354" spans="1:8" ht="13">
      <c r="A354" s="44"/>
      <c r="B354" s="179"/>
      <c r="C354" s="414"/>
      <c r="D354" s="414"/>
      <c r="E354" s="44"/>
      <c r="H354" s="44"/>
    </row>
    <row r="355" spans="1:8" ht="13">
      <c r="A355" s="44"/>
      <c r="B355" s="179"/>
      <c r="C355" s="414"/>
      <c r="D355" s="414"/>
      <c r="E355" s="44"/>
      <c r="H355" s="44"/>
    </row>
    <row r="356" spans="1:8" ht="13">
      <c r="A356" s="44"/>
      <c r="B356" s="179"/>
      <c r="C356" s="414"/>
      <c r="D356" s="414"/>
      <c r="E356" s="44"/>
      <c r="H356" s="44"/>
    </row>
    <row r="357" spans="1:8" ht="13">
      <c r="A357" s="44"/>
      <c r="B357" s="179"/>
      <c r="C357" s="414"/>
      <c r="D357" s="414"/>
      <c r="E357" s="44"/>
      <c r="H357" s="44"/>
    </row>
    <row r="358" spans="1:8" ht="13">
      <c r="A358" s="44"/>
      <c r="B358" s="179"/>
      <c r="C358" s="414"/>
      <c r="D358" s="414"/>
      <c r="E358" s="44"/>
      <c r="H358" s="44"/>
    </row>
    <row r="359" spans="1:8" ht="13">
      <c r="A359" s="44"/>
      <c r="B359" s="179"/>
      <c r="C359" s="414"/>
      <c r="D359" s="414"/>
      <c r="E359" s="44"/>
      <c r="H359" s="44"/>
    </row>
    <row r="360" spans="1:8" ht="13">
      <c r="A360" s="44"/>
      <c r="B360" s="179"/>
      <c r="C360" s="414"/>
      <c r="D360" s="414"/>
      <c r="E360" s="44"/>
      <c r="H360" s="44"/>
    </row>
    <row r="361" spans="1:8" ht="13">
      <c r="A361" s="44"/>
      <c r="B361" s="179"/>
      <c r="C361" s="414"/>
      <c r="D361" s="414"/>
      <c r="E361" s="44"/>
      <c r="H361" s="44"/>
    </row>
    <row r="362" spans="1:8" ht="13">
      <c r="A362" s="44"/>
      <c r="B362" s="179"/>
      <c r="C362" s="414"/>
      <c r="D362" s="414"/>
      <c r="E362" s="44"/>
      <c r="H362" s="44"/>
    </row>
    <row r="363" spans="1:8" ht="13">
      <c r="A363" s="44"/>
      <c r="B363" s="179"/>
      <c r="C363" s="414"/>
      <c r="D363" s="414"/>
      <c r="E363" s="44"/>
      <c r="H363" s="44"/>
    </row>
    <row r="364" spans="1:8" ht="13">
      <c r="A364" s="44"/>
      <c r="B364" s="179"/>
      <c r="C364" s="414"/>
      <c r="D364" s="414"/>
      <c r="E364" s="44"/>
      <c r="H364" s="44"/>
    </row>
    <row r="365" spans="1:8" ht="13">
      <c r="A365" s="44"/>
      <c r="B365" s="179"/>
      <c r="C365" s="414"/>
      <c r="D365" s="414"/>
      <c r="E365" s="44"/>
      <c r="H365" s="44"/>
    </row>
    <row r="366" spans="1:8" ht="13">
      <c r="A366" s="44"/>
      <c r="B366" s="179"/>
      <c r="C366" s="414"/>
      <c r="D366" s="414"/>
      <c r="E366" s="44"/>
      <c r="H366" s="44"/>
    </row>
    <row r="367" spans="1:8" ht="13">
      <c r="A367" s="44"/>
      <c r="B367" s="179"/>
      <c r="C367" s="414"/>
      <c r="D367" s="414"/>
      <c r="E367" s="44"/>
      <c r="H367" s="44"/>
    </row>
    <row r="368" spans="1:8" ht="13">
      <c r="A368" s="44"/>
      <c r="B368" s="179"/>
      <c r="C368" s="414"/>
      <c r="D368" s="414"/>
      <c r="E368" s="44"/>
      <c r="H368" s="44"/>
    </row>
    <row r="369" spans="1:8" ht="13">
      <c r="A369" s="44"/>
      <c r="B369" s="179"/>
      <c r="C369" s="414"/>
      <c r="D369" s="414"/>
      <c r="E369" s="44"/>
      <c r="H369" s="44"/>
    </row>
    <row r="370" spans="1:8" ht="13">
      <c r="A370" s="44"/>
      <c r="B370" s="179"/>
      <c r="C370" s="414"/>
      <c r="D370" s="414"/>
      <c r="E370" s="44"/>
      <c r="H370" s="44"/>
    </row>
    <row r="371" spans="1:8" ht="13">
      <c r="A371" s="44"/>
      <c r="B371" s="179"/>
      <c r="C371" s="414"/>
      <c r="D371" s="414"/>
      <c r="E371" s="44"/>
      <c r="H371" s="44"/>
    </row>
    <row r="372" spans="1:8" ht="13">
      <c r="A372" s="44"/>
      <c r="B372" s="179"/>
      <c r="C372" s="414"/>
      <c r="D372" s="414"/>
      <c r="E372" s="44"/>
      <c r="H372" s="44"/>
    </row>
    <row r="373" spans="1:8" ht="13">
      <c r="A373" s="44"/>
      <c r="B373" s="179"/>
      <c r="C373" s="414"/>
      <c r="D373" s="414"/>
      <c r="E373" s="44"/>
      <c r="H373" s="44"/>
    </row>
    <row r="374" spans="1:8" ht="13">
      <c r="A374" s="44"/>
      <c r="B374" s="179"/>
      <c r="C374" s="414"/>
      <c r="D374" s="414"/>
      <c r="E374" s="44"/>
      <c r="H374" s="44"/>
    </row>
    <row r="375" spans="1:8" ht="13">
      <c r="A375" s="44"/>
      <c r="B375" s="179"/>
      <c r="C375" s="414"/>
      <c r="D375" s="414"/>
      <c r="E375" s="44"/>
      <c r="H375" s="44"/>
    </row>
    <row r="376" spans="1:8" ht="13">
      <c r="A376" s="44"/>
      <c r="B376" s="179"/>
      <c r="C376" s="414"/>
      <c r="D376" s="414"/>
      <c r="E376" s="44"/>
      <c r="H376" s="44"/>
    </row>
    <row r="377" spans="1:8" ht="13">
      <c r="A377" s="44"/>
      <c r="B377" s="179"/>
      <c r="C377" s="414"/>
      <c r="D377" s="414"/>
      <c r="E377" s="44"/>
      <c r="H377" s="44"/>
    </row>
    <row r="378" spans="1:8" ht="13">
      <c r="A378" s="44"/>
      <c r="B378" s="179"/>
      <c r="C378" s="414"/>
      <c r="D378" s="414"/>
      <c r="E378" s="44"/>
      <c r="H378" s="44"/>
    </row>
    <row r="379" spans="1:8" ht="13">
      <c r="A379" s="44"/>
      <c r="B379" s="179"/>
      <c r="C379" s="414"/>
      <c r="D379" s="414"/>
      <c r="E379" s="44"/>
      <c r="H379" s="44"/>
    </row>
    <row r="380" spans="1:8" ht="13">
      <c r="A380" s="44"/>
      <c r="B380" s="179"/>
      <c r="C380" s="414"/>
      <c r="D380" s="414"/>
      <c r="E380" s="44"/>
      <c r="H380" s="44"/>
    </row>
    <row r="381" spans="1:8" ht="13">
      <c r="A381" s="44"/>
      <c r="B381" s="179"/>
      <c r="C381" s="414"/>
      <c r="D381" s="414"/>
      <c r="E381" s="44"/>
      <c r="H381" s="44"/>
    </row>
    <row r="382" spans="1:8" ht="13">
      <c r="A382" s="44"/>
      <c r="B382" s="179"/>
      <c r="C382" s="414"/>
      <c r="D382" s="414"/>
      <c r="E382" s="44"/>
      <c r="H382" s="44"/>
    </row>
    <row r="383" spans="1:8" ht="13">
      <c r="A383" s="44"/>
      <c r="B383" s="179"/>
      <c r="C383" s="414"/>
      <c r="D383" s="414"/>
      <c r="E383" s="44"/>
      <c r="H383" s="44"/>
    </row>
    <row r="384" spans="1:8" ht="13">
      <c r="A384" s="44"/>
      <c r="B384" s="179"/>
      <c r="C384" s="414"/>
      <c r="D384" s="414"/>
      <c r="E384" s="44"/>
      <c r="H384" s="44"/>
    </row>
    <row r="385" spans="1:8" ht="13">
      <c r="A385" s="44"/>
      <c r="B385" s="179"/>
      <c r="C385" s="414"/>
      <c r="D385" s="414"/>
      <c r="E385" s="44"/>
      <c r="H385" s="44"/>
    </row>
    <row r="386" spans="1:8" ht="13">
      <c r="A386" s="44"/>
      <c r="B386" s="179"/>
      <c r="C386" s="414"/>
      <c r="D386" s="414"/>
      <c r="E386" s="44"/>
      <c r="H386" s="44"/>
    </row>
    <row r="387" spans="1:8" ht="13">
      <c r="A387" s="44"/>
      <c r="B387" s="179"/>
      <c r="C387" s="414"/>
      <c r="D387" s="414"/>
      <c r="E387" s="44"/>
      <c r="H387" s="44"/>
    </row>
    <row r="388" spans="1:8" ht="13">
      <c r="A388" s="44"/>
      <c r="B388" s="179"/>
      <c r="C388" s="414"/>
      <c r="D388" s="414"/>
      <c r="E388" s="44"/>
      <c r="H388" s="44"/>
    </row>
    <row r="389" spans="1:8" ht="13">
      <c r="A389" s="44"/>
      <c r="B389" s="179"/>
      <c r="C389" s="414"/>
      <c r="D389" s="414"/>
      <c r="E389" s="44"/>
      <c r="H389" s="44"/>
    </row>
    <row r="390" spans="1:8" ht="13">
      <c r="A390" s="44"/>
      <c r="B390" s="179"/>
      <c r="C390" s="414"/>
      <c r="D390" s="414"/>
      <c r="E390" s="44"/>
      <c r="H390" s="44"/>
    </row>
    <row r="391" spans="1:8" ht="13">
      <c r="A391" s="44"/>
      <c r="B391" s="179"/>
      <c r="C391" s="414"/>
      <c r="D391" s="414"/>
      <c r="E391" s="44"/>
      <c r="H391" s="44"/>
    </row>
    <row r="392" spans="1:8" ht="13">
      <c r="A392" s="44"/>
      <c r="B392" s="179"/>
      <c r="C392" s="414"/>
      <c r="D392" s="414"/>
      <c r="E392" s="44"/>
      <c r="H392" s="44"/>
    </row>
    <row r="393" spans="1:8" ht="13">
      <c r="A393" s="44"/>
      <c r="B393" s="179"/>
      <c r="C393" s="414"/>
      <c r="D393" s="414"/>
      <c r="E393" s="44"/>
      <c r="H393" s="44"/>
    </row>
    <row r="394" spans="1:8" ht="13">
      <c r="A394" s="44"/>
      <c r="B394" s="179"/>
      <c r="C394" s="414"/>
      <c r="D394" s="414"/>
      <c r="E394" s="44"/>
      <c r="H394" s="44"/>
    </row>
    <row r="395" spans="1:8" ht="13">
      <c r="A395" s="44"/>
      <c r="B395" s="179"/>
      <c r="C395" s="414"/>
      <c r="D395" s="414"/>
      <c r="E395" s="44"/>
      <c r="H395" s="44"/>
    </row>
    <row r="396" spans="1:8" ht="13">
      <c r="A396" s="44"/>
      <c r="B396" s="179"/>
      <c r="C396" s="414"/>
      <c r="D396" s="414"/>
      <c r="E396" s="44"/>
      <c r="H396" s="44"/>
    </row>
    <row r="397" spans="1:8" ht="13">
      <c r="A397" s="44"/>
      <c r="B397" s="179"/>
      <c r="C397" s="414"/>
      <c r="D397" s="414"/>
      <c r="E397" s="44"/>
      <c r="H397" s="44"/>
    </row>
    <row r="398" spans="1:8" ht="13">
      <c r="A398" s="44"/>
      <c r="B398" s="179"/>
      <c r="C398" s="414"/>
      <c r="D398" s="414"/>
      <c r="E398" s="44"/>
      <c r="H398" s="44"/>
    </row>
    <row r="399" spans="1:8" ht="13">
      <c r="A399" s="44"/>
      <c r="B399" s="179"/>
      <c r="C399" s="414"/>
      <c r="D399" s="414"/>
      <c r="E399" s="44"/>
      <c r="H399" s="44"/>
    </row>
    <row r="400" spans="1:8" ht="13">
      <c r="A400" s="44"/>
      <c r="B400" s="179"/>
      <c r="C400" s="414"/>
      <c r="D400" s="414"/>
      <c r="E400" s="44"/>
      <c r="H400" s="44"/>
    </row>
    <row r="401" spans="1:8" ht="13">
      <c r="A401" s="44"/>
      <c r="B401" s="179"/>
      <c r="C401" s="414"/>
      <c r="D401" s="414"/>
      <c r="E401" s="44"/>
      <c r="H401" s="44"/>
    </row>
    <row r="402" spans="1:8" ht="13">
      <c r="A402" s="44"/>
      <c r="B402" s="179"/>
      <c r="C402" s="414"/>
      <c r="D402" s="414"/>
      <c r="E402" s="44"/>
      <c r="H402" s="44"/>
    </row>
    <row r="403" spans="1:8" ht="13">
      <c r="A403" s="44"/>
      <c r="B403" s="179"/>
      <c r="C403" s="414"/>
      <c r="D403" s="414"/>
      <c r="E403" s="44"/>
      <c r="H403" s="44"/>
    </row>
    <row r="404" spans="1:8" ht="13">
      <c r="A404" s="44"/>
      <c r="B404" s="179"/>
      <c r="C404" s="414"/>
      <c r="D404" s="414"/>
      <c r="E404" s="44"/>
      <c r="H404" s="44"/>
    </row>
    <row r="405" spans="1:8" ht="13">
      <c r="A405" s="44"/>
      <c r="B405" s="179"/>
      <c r="C405" s="414"/>
      <c r="D405" s="414"/>
      <c r="E405" s="44"/>
      <c r="H405" s="44"/>
    </row>
    <row r="406" spans="1:8" ht="13">
      <c r="A406" s="44"/>
      <c r="B406" s="179"/>
      <c r="C406" s="414"/>
      <c r="D406" s="414"/>
      <c r="E406" s="44"/>
      <c r="H406" s="44"/>
    </row>
    <row r="407" spans="1:8" ht="13">
      <c r="A407" s="44"/>
      <c r="B407" s="179"/>
      <c r="C407" s="414"/>
      <c r="D407" s="414"/>
      <c r="E407" s="44"/>
      <c r="H407" s="44"/>
    </row>
    <row r="408" spans="1:8" ht="13">
      <c r="A408" s="44"/>
      <c r="B408" s="179"/>
      <c r="C408" s="414"/>
      <c r="D408" s="414"/>
      <c r="E408" s="44"/>
      <c r="H408" s="44"/>
    </row>
    <row r="409" spans="1:8" ht="13">
      <c r="A409" s="44"/>
      <c r="B409" s="179"/>
      <c r="C409" s="414"/>
      <c r="D409" s="414"/>
      <c r="E409" s="44"/>
      <c r="H409" s="44"/>
    </row>
    <row r="410" spans="1:8" ht="13">
      <c r="A410" s="44"/>
      <c r="B410" s="179"/>
      <c r="C410" s="414"/>
      <c r="D410" s="414"/>
      <c r="E410" s="44"/>
      <c r="H410" s="44"/>
    </row>
    <row r="411" spans="1:8" ht="13">
      <c r="A411" s="44"/>
      <c r="B411" s="179"/>
      <c r="C411" s="414"/>
      <c r="D411" s="414"/>
      <c r="E411" s="44"/>
      <c r="H411" s="44"/>
    </row>
    <row r="412" spans="1:8" ht="13">
      <c r="A412" s="44"/>
      <c r="B412" s="179"/>
      <c r="C412" s="414"/>
      <c r="D412" s="414"/>
      <c r="E412" s="44"/>
      <c r="H412" s="44"/>
    </row>
    <row r="413" spans="1:8" ht="13">
      <c r="A413" s="44"/>
      <c r="B413" s="179"/>
      <c r="C413" s="414"/>
      <c r="D413" s="414"/>
      <c r="E413" s="44"/>
      <c r="H413" s="44"/>
    </row>
    <row r="414" spans="1:8" ht="13">
      <c r="A414" s="44"/>
      <c r="B414" s="179"/>
      <c r="C414" s="414"/>
      <c r="D414" s="414"/>
      <c r="E414" s="44"/>
      <c r="H414" s="44"/>
    </row>
    <row r="415" spans="1:8" ht="13">
      <c r="A415" s="44"/>
      <c r="B415" s="179"/>
      <c r="C415" s="414"/>
      <c r="D415" s="414"/>
      <c r="E415" s="44"/>
      <c r="H415" s="44"/>
    </row>
    <row r="416" spans="1:8" ht="13">
      <c r="A416" s="44"/>
      <c r="B416" s="179"/>
      <c r="C416" s="414"/>
      <c r="D416" s="414"/>
      <c r="E416" s="44"/>
      <c r="H416" s="44"/>
    </row>
    <row r="417" spans="1:8" ht="13">
      <c r="A417" s="44"/>
      <c r="B417" s="179"/>
      <c r="C417" s="414"/>
      <c r="D417" s="414"/>
      <c r="E417" s="44"/>
      <c r="H417" s="44"/>
    </row>
    <row r="418" spans="1:8" ht="13">
      <c r="A418" s="44"/>
      <c r="B418" s="179"/>
      <c r="C418" s="414"/>
      <c r="D418" s="414"/>
      <c r="E418" s="44"/>
      <c r="H418" s="44"/>
    </row>
    <row r="419" spans="1:8" ht="13">
      <c r="A419" s="44"/>
      <c r="B419" s="179"/>
      <c r="C419" s="414"/>
      <c r="D419" s="414"/>
      <c r="E419" s="44"/>
      <c r="H419" s="44"/>
    </row>
    <row r="420" spans="1:8" ht="13">
      <c r="A420" s="44"/>
      <c r="B420" s="179"/>
      <c r="C420" s="414"/>
      <c r="D420" s="414"/>
      <c r="E420" s="44"/>
      <c r="H420" s="44"/>
    </row>
    <row r="421" spans="1:8" ht="13">
      <c r="A421" s="44"/>
      <c r="B421" s="179"/>
      <c r="C421" s="414"/>
      <c r="D421" s="414"/>
      <c r="E421" s="44"/>
      <c r="H421" s="44"/>
    </row>
    <row r="422" spans="1:8" ht="13">
      <c r="A422" s="44"/>
      <c r="B422" s="179"/>
      <c r="C422" s="414"/>
      <c r="D422" s="414"/>
      <c r="E422" s="44"/>
      <c r="H422" s="44"/>
    </row>
    <row r="423" spans="1:8" ht="13">
      <c r="A423" s="44"/>
      <c r="B423" s="179"/>
      <c r="C423" s="414"/>
      <c r="D423" s="414"/>
      <c r="E423" s="44"/>
      <c r="H423" s="44"/>
    </row>
    <row r="424" spans="1:8" ht="13">
      <c r="A424" s="44"/>
      <c r="B424" s="179"/>
      <c r="C424" s="414"/>
      <c r="D424" s="414"/>
      <c r="E424" s="44"/>
      <c r="H424" s="44"/>
    </row>
    <row r="425" spans="1:8" ht="13">
      <c r="A425" s="44"/>
      <c r="B425" s="179"/>
      <c r="C425" s="414"/>
      <c r="D425" s="414"/>
      <c r="E425" s="44"/>
      <c r="H425" s="44"/>
    </row>
    <row r="426" spans="1:8" ht="13">
      <c r="A426" s="44"/>
      <c r="B426" s="179"/>
      <c r="C426" s="414"/>
      <c r="D426" s="414"/>
      <c r="E426" s="44"/>
      <c r="H426" s="44"/>
    </row>
    <row r="427" spans="1:8" ht="13">
      <c r="A427" s="44"/>
      <c r="B427" s="179"/>
      <c r="C427" s="414"/>
      <c r="D427" s="414"/>
      <c r="E427" s="44"/>
      <c r="H427" s="44"/>
    </row>
    <row r="428" spans="1:8" ht="13">
      <c r="A428" s="44"/>
      <c r="B428" s="179"/>
      <c r="C428" s="414"/>
      <c r="D428" s="414"/>
      <c r="E428" s="44"/>
      <c r="H428" s="44"/>
    </row>
    <row r="429" spans="1:8" ht="13">
      <c r="A429" s="44"/>
      <c r="B429" s="179"/>
      <c r="C429" s="414"/>
      <c r="D429" s="414"/>
      <c r="E429" s="44"/>
      <c r="H429" s="44"/>
    </row>
    <row r="430" spans="1:8" ht="13">
      <c r="A430" s="44"/>
      <c r="B430" s="179"/>
      <c r="C430" s="414"/>
      <c r="D430" s="414"/>
      <c r="E430" s="44"/>
      <c r="H430" s="44"/>
    </row>
    <row r="431" spans="1:8" ht="13">
      <c r="A431" s="44"/>
      <c r="B431" s="179"/>
      <c r="C431" s="414"/>
      <c r="D431" s="414"/>
      <c r="E431" s="44"/>
      <c r="H431" s="44"/>
    </row>
    <row r="432" spans="1:8" ht="13">
      <c r="A432" s="44"/>
      <c r="B432" s="179"/>
      <c r="C432" s="414"/>
      <c r="D432" s="414"/>
      <c r="E432" s="44"/>
      <c r="H432" s="44"/>
    </row>
    <row r="433" spans="1:8" ht="13">
      <c r="A433" s="44"/>
      <c r="B433" s="179"/>
      <c r="C433" s="414"/>
      <c r="D433" s="414"/>
      <c r="E433" s="44"/>
      <c r="H433" s="44"/>
    </row>
    <row r="434" spans="1:8" ht="13">
      <c r="A434" s="44"/>
      <c r="B434" s="179"/>
      <c r="C434" s="414"/>
      <c r="D434" s="414"/>
      <c r="E434" s="44"/>
      <c r="H434" s="44"/>
    </row>
    <row r="435" spans="1:8" ht="13">
      <c r="A435" s="44"/>
      <c r="B435" s="179"/>
      <c r="C435" s="414"/>
      <c r="D435" s="414"/>
      <c r="E435" s="44"/>
      <c r="H435" s="44"/>
    </row>
    <row r="436" spans="1:8" ht="13">
      <c r="A436" s="44"/>
      <c r="B436" s="179"/>
      <c r="C436" s="414"/>
      <c r="D436" s="414"/>
      <c r="E436" s="44"/>
      <c r="H436" s="44"/>
    </row>
    <row r="437" spans="1:8" ht="13">
      <c r="A437" s="44"/>
      <c r="B437" s="179"/>
      <c r="C437" s="414"/>
      <c r="D437" s="414"/>
      <c r="E437" s="44"/>
      <c r="H437" s="44"/>
    </row>
    <row r="438" spans="1:8" ht="13">
      <c r="A438" s="44"/>
      <c r="B438" s="179"/>
      <c r="C438" s="414"/>
      <c r="D438" s="414"/>
      <c r="E438" s="44"/>
      <c r="H438" s="44"/>
    </row>
    <row r="439" spans="1:8" ht="13">
      <c r="A439" s="44"/>
      <c r="B439" s="179"/>
      <c r="C439" s="414"/>
      <c r="D439" s="414"/>
      <c r="E439" s="44"/>
      <c r="H439" s="44"/>
    </row>
    <row r="440" spans="1:8" ht="13">
      <c r="A440" s="44"/>
      <c r="B440" s="179"/>
      <c r="C440" s="414"/>
      <c r="D440" s="414"/>
      <c r="E440" s="44"/>
      <c r="H440" s="44"/>
    </row>
    <row r="441" spans="1:8" ht="13">
      <c r="A441" s="44"/>
      <c r="B441" s="179"/>
      <c r="C441" s="414"/>
      <c r="D441" s="414"/>
      <c r="E441" s="44"/>
      <c r="H441" s="44"/>
    </row>
    <row r="442" spans="1:8" ht="13">
      <c r="A442" s="44"/>
      <c r="B442" s="179"/>
      <c r="C442" s="414"/>
      <c r="D442" s="414"/>
      <c r="E442" s="44"/>
      <c r="H442" s="44"/>
    </row>
    <row r="443" spans="1:8" ht="13">
      <c r="A443" s="44"/>
      <c r="B443" s="179"/>
      <c r="C443" s="414"/>
      <c r="D443" s="414"/>
      <c r="E443" s="44"/>
      <c r="H443" s="44"/>
    </row>
    <row r="444" spans="1:8" ht="13">
      <c r="A444" s="44"/>
      <c r="B444" s="179"/>
      <c r="C444" s="414"/>
      <c r="D444" s="414"/>
      <c r="E444" s="44"/>
      <c r="H444" s="44"/>
    </row>
    <row r="445" spans="1:8" ht="13">
      <c r="A445" s="44"/>
      <c r="B445" s="179"/>
      <c r="C445" s="414"/>
      <c r="D445" s="414"/>
      <c r="E445" s="44"/>
      <c r="H445" s="44"/>
    </row>
    <row r="446" spans="1:8" ht="13">
      <c r="A446" s="44"/>
      <c r="B446" s="179"/>
      <c r="C446" s="414"/>
      <c r="D446" s="414"/>
      <c r="E446" s="44"/>
      <c r="H446" s="44"/>
    </row>
    <row r="447" spans="1:8" ht="13">
      <c r="A447" s="44"/>
      <c r="B447" s="179"/>
      <c r="C447" s="414"/>
      <c r="D447" s="414"/>
      <c r="E447" s="44"/>
      <c r="H447" s="44"/>
    </row>
    <row r="448" spans="1:8" ht="13">
      <c r="A448" s="44"/>
      <c r="B448" s="179"/>
      <c r="C448" s="414"/>
      <c r="D448" s="414"/>
      <c r="E448" s="44"/>
      <c r="H448" s="44"/>
    </row>
    <row r="449" spans="1:8" ht="13">
      <c r="A449" s="44"/>
      <c r="B449" s="179"/>
      <c r="C449" s="414"/>
      <c r="D449" s="414"/>
      <c r="E449" s="44"/>
      <c r="H449" s="44"/>
    </row>
    <row r="450" spans="1:8" ht="13">
      <c r="A450" s="44"/>
      <c r="B450" s="179"/>
      <c r="C450" s="414"/>
      <c r="D450" s="414"/>
      <c r="E450" s="44"/>
      <c r="H450" s="44"/>
    </row>
    <row r="451" spans="1:8" ht="13">
      <c r="A451" s="44"/>
      <c r="B451" s="179"/>
      <c r="C451" s="414"/>
      <c r="D451" s="414"/>
      <c r="E451" s="44"/>
      <c r="H451" s="44"/>
    </row>
    <row r="452" spans="1:8" ht="13">
      <c r="A452" s="44"/>
      <c r="B452" s="179"/>
      <c r="C452" s="414"/>
      <c r="D452" s="414"/>
      <c r="E452" s="44"/>
      <c r="H452" s="44"/>
    </row>
    <row r="453" spans="1:8" ht="13">
      <c r="A453" s="44"/>
      <c r="B453" s="179"/>
      <c r="C453" s="414"/>
      <c r="D453" s="414"/>
      <c r="E453" s="44"/>
      <c r="H453" s="44"/>
    </row>
    <row r="454" spans="1:8" ht="13">
      <c r="A454" s="44"/>
      <c r="B454" s="179"/>
      <c r="C454" s="414"/>
      <c r="D454" s="414"/>
      <c r="E454" s="44"/>
      <c r="H454" s="44"/>
    </row>
    <row r="455" spans="1:8" ht="13">
      <c r="A455" s="44"/>
      <c r="B455" s="179"/>
      <c r="C455" s="414"/>
      <c r="D455" s="414"/>
      <c r="E455" s="44"/>
      <c r="H455" s="44"/>
    </row>
    <row r="456" spans="1:8" ht="13">
      <c r="A456" s="44"/>
      <c r="B456" s="179"/>
      <c r="C456" s="414"/>
      <c r="D456" s="414"/>
      <c r="E456" s="44"/>
      <c r="H456" s="44"/>
    </row>
    <row r="457" spans="1:8" ht="13">
      <c r="A457" s="44"/>
      <c r="B457" s="179"/>
      <c r="C457" s="414"/>
      <c r="D457" s="414"/>
      <c r="E457" s="44"/>
      <c r="H457" s="44"/>
    </row>
    <row r="458" spans="1:8" ht="13">
      <c r="A458" s="44"/>
      <c r="B458" s="179"/>
      <c r="C458" s="414"/>
      <c r="D458" s="414"/>
      <c r="E458" s="44"/>
      <c r="H458" s="44"/>
    </row>
    <row r="459" spans="1:8" ht="13">
      <c r="A459" s="44"/>
      <c r="B459" s="179"/>
      <c r="C459" s="414"/>
      <c r="D459" s="414"/>
      <c r="E459" s="44"/>
      <c r="H459" s="44"/>
    </row>
    <row r="460" spans="1:8" ht="13">
      <c r="A460" s="44"/>
      <c r="B460" s="179"/>
      <c r="C460" s="414"/>
      <c r="D460" s="414"/>
      <c r="E460" s="44"/>
      <c r="H460" s="44"/>
    </row>
    <row r="461" spans="1:8" ht="13">
      <c r="A461" s="44"/>
      <c r="B461" s="179"/>
      <c r="C461" s="414"/>
      <c r="D461" s="414"/>
      <c r="E461" s="44"/>
      <c r="H461" s="44"/>
    </row>
    <row r="462" spans="1:8" ht="13">
      <c r="A462" s="44"/>
      <c r="B462" s="179"/>
      <c r="C462" s="414"/>
      <c r="D462" s="414"/>
      <c r="E462" s="44"/>
      <c r="H462" s="44"/>
    </row>
    <row r="463" spans="1:8" ht="13">
      <c r="A463" s="44"/>
      <c r="B463" s="179"/>
      <c r="C463" s="414"/>
      <c r="D463" s="414"/>
      <c r="E463" s="44"/>
      <c r="H463" s="44"/>
    </row>
    <row r="464" spans="1:8" ht="13">
      <c r="A464" s="44"/>
      <c r="B464" s="179"/>
      <c r="C464" s="414"/>
      <c r="D464" s="414"/>
      <c r="E464" s="44"/>
      <c r="H464" s="44"/>
    </row>
    <row r="465" spans="1:8" ht="13">
      <c r="A465" s="44"/>
      <c r="B465" s="179"/>
      <c r="C465" s="414"/>
      <c r="D465" s="414"/>
      <c r="E465" s="44"/>
      <c r="H465" s="44"/>
    </row>
    <row r="466" spans="1:8" ht="13">
      <c r="A466" s="44"/>
      <c r="B466" s="179"/>
      <c r="C466" s="414"/>
      <c r="D466" s="414"/>
      <c r="E466" s="44"/>
      <c r="H466" s="44"/>
    </row>
    <row r="467" spans="1:8" ht="13">
      <c r="A467" s="44"/>
      <c r="B467" s="179"/>
      <c r="C467" s="414"/>
      <c r="D467" s="414"/>
      <c r="E467" s="44"/>
      <c r="H467" s="44"/>
    </row>
    <row r="468" spans="1:8" ht="13">
      <c r="A468" s="44"/>
      <c r="B468" s="179"/>
      <c r="C468" s="414"/>
      <c r="D468" s="414"/>
      <c r="E468" s="44"/>
      <c r="H468" s="44"/>
    </row>
    <row r="469" spans="1:8" ht="13">
      <c r="A469" s="44"/>
      <c r="B469" s="179"/>
      <c r="C469" s="414"/>
      <c r="D469" s="414"/>
      <c r="E469" s="44"/>
      <c r="H469" s="44"/>
    </row>
    <row r="470" spans="1:8" ht="13">
      <c r="A470" s="44"/>
      <c r="B470" s="179"/>
      <c r="C470" s="414"/>
      <c r="D470" s="414"/>
      <c r="E470" s="44"/>
      <c r="H470" s="44"/>
    </row>
    <row r="471" spans="1:8" ht="13">
      <c r="A471" s="44"/>
      <c r="B471" s="179"/>
      <c r="C471" s="414"/>
      <c r="D471" s="414"/>
      <c r="E471" s="44"/>
      <c r="H471" s="44"/>
    </row>
    <row r="472" spans="1:8" ht="13">
      <c r="A472" s="44"/>
      <c r="B472" s="179"/>
      <c r="C472" s="414"/>
      <c r="D472" s="414"/>
      <c r="E472" s="44"/>
      <c r="H472" s="44"/>
    </row>
    <row r="473" spans="1:8" ht="13">
      <c r="A473" s="44"/>
      <c r="B473" s="179"/>
      <c r="C473" s="414"/>
      <c r="D473" s="414"/>
      <c r="E473" s="44"/>
      <c r="H473" s="44"/>
    </row>
    <row r="474" spans="1:8" ht="13">
      <c r="A474" s="44"/>
      <c r="B474" s="179"/>
      <c r="C474" s="414"/>
      <c r="D474" s="414"/>
      <c r="E474" s="44"/>
      <c r="H474" s="44"/>
    </row>
    <row r="475" spans="1:8" ht="13">
      <c r="A475" s="44"/>
      <c r="B475" s="179"/>
      <c r="C475" s="414"/>
      <c r="D475" s="414"/>
      <c r="E475" s="44"/>
      <c r="H475" s="44"/>
    </row>
    <row r="476" spans="1:8" ht="13">
      <c r="A476" s="44"/>
      <c r="B476" s="179"/>
      <c r="C476" s="414"/>
      <c r="D476" s="414"/>
      <c r="E476" s="44"/>
      <c r="H476" s="44"/>
    </row>
    <row r="477" spans="1:8" ht="13">
      <c r="A477" s="44"/>
      <c r="B477" s="179"/>
      <c r="C477" s="414"/>
      <c r="D477" s="414"/>
      <c r="E477" s="44"/>
      <c r="H477" s="44"/>
    </row>
    <row r="478" spans="1:8" ht="13">
      <c r="A478" s="44"/>
      <c r="B478" s="179"/>
      <c r="C478" s="414"/>
      <c r="D478" s="414"/>
      <c r="E478" s="44"/>
      <c r="H478" s="44"/>
    </row>
    <row r="479" spans="1:8" ht="13">
      <c r="A479" s="44"/>
      <c r="B479" s="179"/>
      <c r="C479" s="414"/>
      <c r="D479" s="414"/>
      <c r="E479" s="44"/>
      <c r="H479" s="44"/>
    </row>
    <row r="480" spans="1:8" ht="13">
      <c r="A480" s="44"/>
      <c r="B480" s="179"/>
      <c r="C480" s="414"/>
      <c r="D480" s="414"/>
      <c r="E480" s="44"/>
      <c r="H480" s="44"/>
    </row>
    <row r="481" spans="1:8" ht="13">
      <c r="A481" s="44"/>
      <c r="B481" s="179"/>
      <c r="C481" s="414"/>
      <c r="D481" s="414"/>
      <c r="E481" s="44"/>
      <c r="H481" s="44"/>
    </row>
    <row r="482" spans="1:8" ht="13">
      <c r="A482" s="44"/>
      <c r="B482" s="179"/>
      <c r="C482" s="414"/>
      <c r="D482" s="414"/>
      <c r="E482" s="44"/>
      <c r="H482" s="44"/>
    </row>
    <row r="483" spans="1:8" ht="13">
      <c r="A483" s="44"/>
      <c r="B483" s="179"/>
      <c r="C483" s="414"/>
      <c r="D483" s="414"/>
      <c r="E483" s="44"/>
      <c r="H483" s="44"/>
    </row>
    <row r="484" spans="1:8" ht="13">
      <c r="A484" s="44"/>
      <c r="B484" s="179"/>
      <c r="C484" s="414"/>
      <c r="D484" s="414"/>
      <c r="E484" s="44"/>
      <c r="H484" s="44"/>
    </row>
    <row r="485" spans="1:8" ht="13">
      <c r="A485" s="44"/>
      <c r="B485" s="179"/>
      <c r="C485" s="414"/>
      <c r="D485" s="414"/>
      <c r="E485" s="44"/>
      <c r="H485" s="44"/>
    </row>
    <row r="486" spans="1:8" ht="13">
      <c r="A486" s="44"/>
      <c r="B486" s="179"/>
      <c r="C486" s="414"/>
      <c r="D486" s="414"/>
      <c r="E486" s="44"/>
      <c r="H486" s="44"/>
    </row>
    <row r="487" spans="1:8" ht="13">
      <c r="A487" s="44"/>
      <c r="B487" s="179"/>
      <c r="C487" s="414"/>
      <c r="D487" s="414"/>
      <c r="E487" s="44"/>
      <c r="H487" s="44"/>
    </row>
    <row r="488" spans="1:8" ht="13">
      <c r="A488" s="44"/>
      <c r="B488" s="179"/>
      <c r="C488" s="414"/>
      <c r="D488" s="414"/>
      <c r="E488" s="44"/>
      <c r="H488" s="44"/>
    </row>
    <row r="489" spans="1:8" ht="13">
      <c r="A489" s="44"/>
      <c r="B489" s="179"/>
      <c r="C489" s="414"/>
      <c r="D489" s="414"/>
      <c r="E489" s="44"/>
      <c r="H489" s="44"/>
    </row>
    <row r="490" spans="1:8" ht="13">
      <c r="A490" s="44"/>
      <c r="B490" s="179"/>
      <c r="C490" s="414"/>
      <c r="D490" s="414"/>
      <c r="E490" s="44"/>
      <c r="H490" s="44"/>
    </row>
    <row r="491" spans="1:8" ht="13">
      <c r="A491" s="44"/>
      <c r="B491" s="179"/>
      <c r="C491" s="414"/>
      <c r="D491" s="414"/>
      <c r="E491" s="44"/>
      <c r="H491" s="44"/>
    </row>
    <row r="492" spans="1:8" ht="13">
      <c r="A492" s="44"/>
      <c r="B492" s="179"/>
      <c r="C492" s="414"/>
      <c r="D492" s="414"/>
      <c r="E492" s="44"/>
      <c r="H492" s="44"/>
    </row>
    <row r="493" spans="1:8" ht="13">
      <c r="A493" s="44"/>
      <c r="B493" s="179"/>
      <c r="C493" s="414"/>
      <c r="D493" s="414"/>
      <c r="E493" s="44"/>
      <c r="H493" s="44"/>
    </row>
    <row r="494" spans="1:8" ht="13">
      <c r="A494" s="44"/>
      <c r="B494" s="179"/>
      <c r="C494" s="414"/>
      <c r="D494" s="414"/>
      <c r="E494" s="44"/>
      <c r="H494" s="44"/>
    </row>
    <row r="495" spans="1:8" ht="13">
      <c r="A495" s="44"/>
      <c r="B495" s="179"/>
      <c r="C495" s="414"/>
      <c r="D495" s="414"/>
      <c r="E495" s="44"/>
      <c r="H495" s="44"/>
    </row>
    <row r="496" spans="1:8" ht="13">
      <c r="A496" s="44"/>
      <c r="B496" s="179"/>
      <c r="C496" s="414"/>
      <c r="D496" s="414"/>
      <c r="E496" s="44"/>
      <c r="H496" s="44"/>
    </row>
    <row r="497" spans="1:8" ht="13">
      <c r="A497" s="44"/>
      <c r="B497" s="179"/>
      <c r="C497" s="414"/>
      <c r="D497" s="414"/>
      <c r="E497" s="44"/>
      <c r="H497" s="44"/>
    </row>
    <row r="498" spans="1:8" ht="13">
      <c r="A498" s="44"/>
      <c r="B498" s="179"/>
      <c r="C498" s="414"/>
      <c r="D498" s="414"/>
      <c r="E498" s="44"/>
      <c r="H498" s="44"/>
    </row>
    <row r="499" spans="1:8" ht="13">
      <c r="A499" s="44"/>
      <c r="B499" s="179"/>
      <c r="C499" s="414"/>
      <c r="D499" s="414"/>
      <c r="E499" s="44"/>
      <c r="H499" s="44"/>
    </row>
    <row r="500" spans="1:8" ht="13">
      <c r="A500" s="44"/>
      <c r="B500" s="179"/>
      <c r="C500" s="414"/>
      <c r="D500" s="414"/>
      <c r="E500" s="44"/>
      <c r="H500" s="44"/>
    </row>
    <row r="501" spans="1:8" ht="13">
      <c r="A501" s="44"/>
      <c r="B501" s="179"/>
      <c r="C501" s="414"/>
      <c r="D501" s="414"/>
      <c r="E501" s="44"/>
      <c r="H501" s="44"/>
    </row>
    <row r="502" spans="1:8" ht="13">
      <c r="A502" s="44"/>
      <c r="B502" s="179"/>
      <c r="C502" s="414"/>
      <c r="D502" s="414"/>
      <c r="E502" s="44"/>
      <c r="H502" s="44"/>
    </row>
    <row r="503" spans="1:8" ht="13">
      <c r="A503" s="44"/>
      <c r="B503" s="179"/>
      <c r="C503" s="414"/>
      <c r="D503" s="414"/>
      <c r="E503" s="44"/>
      <c r="H503" s="44"/>
    </row>
    <row r="504" spans="1:8" ht="13">
      <c r="A504" s="44"/>
      <c r="B504" s="179"/>
      <c r="C504" s="414"/>
      <c r="D504" s="414"/>
      <c r="E504" s="44"/>
      <c r="H504" s="44"/>
    </row>
    <row r="505" spans="1:8" ht="13">
      <c r="A505" s="44"/>
      <c r="B505" s="179"/>
      <c r="C505" s="414"/>
      <c r="D505" s="414"/>
      <c r="E505" s="44"/>
      <c r="H505" s="44"/>
    </row>
    <row r="506" spans="1:8" ht="13">
      <c r="A506" s="44"/>
      <c r="B506" s="179"/>
      <c r="C506" s="414"/>
      <c r="D506" s="414"/>
      <c r="E506" s="44"/>
      <c r="H506" s="44"/>
    </row>
    <row r="507" spans="1:8" ht="13">
      <c r="A507" s="44"/>
      <c r="B507" s="179"/>
      <c r="C507" s="414"/>
      <c r="D507" s="414"/>
      <c r="E507" s="44"/>
      <c r="H507" s="44"/>
    </row>
    <row r="508" spans="1:8" ht="13">
      <c r="A508" s="44"/>
      <c r="B508" s="179"/>
      <c r="C508" s="414"/>
      <c r="D508" s="414"/>
      <c r="E508" s="44"/>
      <c r="H508" s="44"/>
    </row>
    <row r="509" spans="1:8" ht="13">
      <c r="A509" s="44"/>
      <c r="B509" s="179"/>
      <c r="C509" s="414"/>
      <c r="D509" s="414"/>
      <c r="E509" s="44"/>
      <c r="H509" s="44"/>
    </row>
    <row r="510" spans="1:8" ht="13">
      <c r="A510" s="44"/>
      <c r="B510" s="179"/>
      <c r="C510" s="414"/>
      <c r="D510" s="414"/>
      <c r="E510" s="44"/>
      <c r="H510" s="44"/>
    </row>
    <row r="511" spans="1:8" ht="13">
      <c r="A511" s="44"/>
      <c r="B511" s="179"/>
      <c r="C511" s="414"/>
      <c r="D511" s="414"/>
      <c r="E511" s="44"/>
      <c r="H511" s="44"/>
    </row>
    <row r="512" spans="1:8" ht="13">
      <c r="A512" s="44"/>
      <c r="B512" s="179"/>
      <c r="C512" s="414"/>
      <c r="D512" s="414"/>
      <c r="E512" s="44"/>
      <c r="H512" s="44"/>
    </row>
    <row r="513" spans="1:8" ht="13">
      <c r="A513" s="44"/>
      <c r="B513" s="179"/>
      <c r="C513" s="414"/>
      <c r="D513" s="414"/>
      <c r="E513" s="44"/>
      <c r="H513" s="44"/>
    </row>
    <row r="514" spans="1:8" ht="13">
      <c r="A514" s="44"/>
      <c r="B514" s="179"/>
      <c r="C514" s="414"/>
      <c r="D514" s="414"/>
      <c r="E514" s="44"/>
      <c r="H514" s="44"/>
    </row>
    <row r="515" spans="1:8" ht="13">
      <c r="A515" s="44"/>
      <c r="B515" s="179"/>
      <c r="C515" s="414"/>
      <c r="D515" s="414"/>
      <c r="E515" s="44"/>
      <c r="H515" s="44"/>
    </row>
    <row r="516" spans="1:8" ht="13">
      <c r="A516" s="44"/>
      <c r="B516" s="179"/>
      <c r="C516" s="414"/>
      <c r="D516" s="414"/>
      <c r="E516" s="44"/>
      <c r="H516" s="44"/>
    </row>
    <row r="517" spans="1:8" ht="13">
      <c r="A517" s="44"/>
      <c r="B517" s="179"/>
      <c r="C517" s="414"/>
      <c r="D517" s="414"/>
      <c r="E517" s="44"/>
      <c r="H517" s="44"/>
    </row>
    <row r="518" spans="1:8" ht="13">
      <c r="A518" s="44"/>
      <c r="B518" s="179"/>
      <c r="C518" s="414"/>
      <c r="D518" s="414"/>
      <c r="E518" s="44"/>
      <c r="H518" s="44"/>
    </row>
    <row r="519" spans="1:8" ht="13">
      <c r="A519" s="44"/>
      <c r="B519" s="179"/>
      <c r="C519" s="414"/>
      <c r="D519" s="414"/>
      <c r="E519" s="44"/>
      <c r="H519" s="44"/>
    </row>
    <row r="520" spans="1:8" ht="13">
      <c r="A520" s="44"/>
      <c r="B520" s="179"/>
      <c r="C520" s="414"/>
      <c r="D520" s="414"/>
      <c r="E520" s="44"/>
      <c r="H520" s="44"/>
    </row>
    <row r="521" spans="1:8" ht="13">
      <c r="A521" s="44"/>
      <c r="B521" s="179"/>
      <c r="C521" s="414"/>
      <c r="D521" s="414"/>
      <c r="E521" s="44"/>
      <c r="H521" s="44"/>
    </row>
    <row r="522" spans="1:8" ht="13">
      <c r="A522" s="44"/>
      <c r="B522" s="179"/>
      <c r="C522" s="414"/>
      <c r="D522" s="414"/>
      <c r="E522" s="44"/>
      <c r="H522" s="44"/>
    </row>
    <row r="523" spans="1:8" ht="13">
      <c r="A523" s="44"/>
      <c r="B523" s="179"/>
      <c r="C523" s="414"/>
      <c r="D523" s="414"/>
      <c r="E523" s="44"/>
      <c r="H523" s="44"/>
    </row>
    <row r="524" spans="1:8" ht="13">
      <c r="A524" s="44"/>
      <c r="B524" s="179"/>
      <c r="C524" s="414"/>
      <c r="D524" s="414"/>
      <c r="E524" s="44"/>
      <c r="H524" s="44"/>
    </row>
    <row r="525" spans="1:8" ht="13">
      <c r="A525" s="44"/>
      <c r="B525" s="179"/>
      <c r="C525" s="414"/>
      <c r="D525" s="414"/>
      <c r="E525" s="44"/>
      <c r="H525" s="44"/>
    </row>
    <row r="526" spans="1:8" ht="13">
      <c r="A526" s="44"/>
      <c r="B526" s="179"/>
      <c r="C526" s="414"/>
      <c r="D526" s="414"/>
      <c r="E526" s="44"/>
      <c r="H526" s="44"/>
    </row>
    <row r="527" spans="1:8" ht="13">
      <c r="A527" s="44"/>
      <c r="B527" s="179"/>
      <c r="C527" s="414"/>
      <c r="D527" s="414"/>
      <c r="E527" s="44"/>
      <c r="H527" s="44"/>
    </row>
    <row r="528" spans="1:8" ht="13">
      <c r="A528" s="44"/>
      <c r="B528" s="179"/>
      <c r="C528" s="414"/>
      <c r="D528" s="414"/>
      <c r="E528" s="44"/>
      <c r="H528" s="44"/>
    </row>
    <row r="529" spans="1:8" ht="13">
      <c r="A529" s="44"/>
      <c r="B529" s="179"/>
      <c r="C529" s="414"/>
      <c r="D529" s="414"/>
      <c r="E529" s="44"/>
      <c r="H529" s="44"/>
    </row>
    <row r="530" spans="1:8" ht="13">
      <c r="A530" s="44"/>
      <c r="B530" s="179"/>
      <c r="C530" s="414"/>
      <c r="D530" s="414"/>
      <c r="E530" s="44"/>
      <c r="H530" s="44"/>
    </row>
    <row r="531" spans="1:8" ht="13">
      <c r="A531" s="44"/>
      <c r="B531" s="179"/>
      <c r="C531" s="414"/>
      <c r="D531" s="414"/>
      <c r="E531" s="44"/>
      <c r="H531" s="44"/>
    </row>
    <row r="532" spans="1:8" ht="13">
      <c r="A532" s="44"/>
      <c r="B532" s="179"/>
      <c r="C532" s="414"/>
      <c r="D532" s="414"/>
      <c r="E532" s="44"/>
      <c r="H532" s="44"/>
    </row>
    <row r="533" spans="1:8" ht="13">
      <c r="A533" s="44"/>
      <c r="B533" s="179"/>
      <c r="C533" s="414"/>
      <c r="D533" s="414"/>
      <c r="E533" s="44"/>
      <c r="H533" s="44"/>
    </row>
    <row r="534" spans="1:8" ht="13">
      <c r="A534" s="44"/>
      <c r="B534" s="179"/>
      <c r="C534" s="414"/>
      <c r="D534" s="414"/>
      <c r="E534" s="44"/>
      <c r="H534" s="44"/>
    </row>
    <row r="535" spans="1:8" ht="13">
      <c r="A535" s="44"/>
      <c r="B535" s="179"/>
      <c r="C535" s="414"/>
      <c r="D535" s="414"/>
      <c r="E535" s="44"/>
      <c r="H535" s="44"/>
    </row>
    <row r="536" spans="1:8" ht="13">
      <c r="A536" s="44"/>
      <c r="B536" s="179"/>
      <c r="C536" s="414"/>
      <c r="D536" s="414"/>
      <c r="E536" s="44"/>
      <c r="H536" s="44"/>
    </row>
    <row r="537" spans="1:8" ht="13">
      <c r="A537" s="44"/>
      <c r="B537" s="179"/>
      <c r="C537" s="414"/>
      <c r="D537" s="414"/>
      <c r="E537" s="44"/>
      <c r="H537" s="44"/>
    </row>
    <row r="538" spans="1:8" ht="13">
      <c r="A538" s="44"/>
      <c r="B538" s="179"/>
      <c r="C538" s="414"/>
      <c r="D538" s="414"/>
      <c r="E538" s="44"/>
      <c r="H538" s="44"/>
    </row>
    <row r="539" spans="1:8" ht="13">
      <c r="A539" s="44"/>
      <c r="B539" s="179"/>
      <c r="C539" s="414"/>
      <c r="D539" s="414"/>
      <c r="E539" s="44"/>
      <c r="H539" s="44"/>
    </row>
    <row r="540" spans="1:8" ht="13">
      <c r="A540" s="44"/>
      <c r="B540" s="179"/>
      <c r="C540" s="414"/>
      <c r="D540" s="414"/>
      <c r="E540" s="44"/>
      <c r="H540" s="44"/>
    </row>
    <row r="541" spans="1:8" ht="13">
      <c r="A541" s="44"/>
      <c r="B541" s="179"/>
      <c r="C541" s="414"/>
      <c r="D541" s="414"/>
      <c r="E541" s="44"/>
      <c r="H541" s="44"/>
    </row>
    <row r="542" spans="1:8" ht="13">
      <c r="A542" s="44"/>
      <c r="B542" s="179"/>
      <c r="C542" s="414"/>
      <c r="D542" s="414"/>
      <c r="E542" s="44"/>
      <c r="H542" s="44"/>
    </row>
    <row r="543" spans="1:8" ht="13">
      <c r="A543" s="44"/>
      <c r="B543" s="179"/>
      <c r="C543" s="414"/>
      <c r="D543" s="414"/>
      <c r="E543" s="44"/>
      <c r="H543" s="44"/>
    </row>
    <row r="544" spans="1:8" ht="13">
      <c r="A544" s="44"/>
      <c r="B544" s="179"/>
      <c r="C544" s="414"/>
      <c r="D544" s="414"/>
      <c r="E544" s="44"/>
      <c r="H544" s="44"/>
    </row>
    <row r="545" spans="1:8" ht="13">
      <c r="A545" s="44"/>
      <c r="B545" s="179"/>
      <c r="C545" s="414"/>
      <c r="D545" s="414"/>
      <c r="E545" s="44"/>
      <c r="H545" s="44"/>
    </row>
    <row r="546" spans="1:8" ht="13">
      <c r="A546" s="44"/>
      <c r="B546" s="179"/>
      <c r="C546" s="414"/>
      <c r="D546" s="414"/>
      <c r="E546" s="44"/>
      <c r="H546" s="44"/>
    </row>
    <row r="547" spans="1:8" ht="13">
      <c r="A547" s="44"/>
      <c r="B547" s="179"/>
      <c r="C547" s="414"/>
      <c r="D547" s="414"/>
      <c r="E547" s="44"/>
      <c r="H547" s="44"/>
    </row>
    <row r="548" spans="1:8" ht="13">
      <c r="A548" s="44"/>
      <c r="B548" s="179"/>
      <c r="C548" s="414"/>
      <c r="D548" s="414"/>
      <c r="E548" s="44"/>
      <c r="H548" s="44"/>
    </row>
    <row r="549" spans="1:8" ht="13">
      <c r="A549" s="44"/>
      <c r="B549" s="179"/>
      <c r="C549" s="414"/>
      <c r="D549" s="414"/>
      <c r="E549" s="44"/>
      <c r="H549" s="44"/>
    </row>
    <row r="550" spans="1:8" ht="13">
      <c r="A550" s="44"/>
      <c r="B550" s="179"/>
      <c r="C550" s="414"/>
      <c r="D550" s="414"/>
      <c r="E550" s="44"/>
      <c r="H550" s="44"/>
    </row>
    <row r="551" spans="1:8" ht="13">
      <c r="A551" s="44"/>
      <c r="B551" s="179"/>
      <c r="C551" s="414"/>
      <c r="D551" s="414"/>
      <c r="E551" s="44"/>
      <c r="H551" s="44"/>
    </row>
    <row r="552" spans="1:8" ht="13">
      <c r="A552" s="44"/>
      <c r="B552" s="179"/>
      <c r="C552" s="414"/>
      <c r="D552" s="414"/>
      <c r="E552" s="44"/>
      <c r="H552" s="44"/>
    </row>
    <row r="553" spans="1:8" ht="13">
      <c r="A553" s="44"/>
      <c r="B553" s="179"/>
      <c r="C553" s="414"/>
      <c r="D553" s="414"/>
      <c r="E553" s="44"/>
      <c r="H553" s="44"/>
    </row>
    <row r="554" spans="1:8" ht="13">
      <c r="A554" s="44"/>
      <c r="B554" s="179"/>
      <c r="C554" s="414"/>
      <c r="D554" s="414"/>
      <c r="E554" s="44"/>
      <c r="H554" s="44"/>
    </row>
    <row r="555" spans="1:8" ht="13">
      <c r="A555" s="44"/>
      <c r="B555" s="179"/>
      <c r="C555" s="414"/>
      <c r="D555" s="414"/>
      <c r="E555" s="44"/>
      <c r="H555" s="44"/>
    </row>
    <row r="556" spans="1:8" ht="13">
      <c r="A556" s="44"/>
      <c r="B556" s="179"/>
      <c r="C556" s="414"/>
      <c r="D556" s="414"/>
      <c r="E556" s="44"/>
      <c r="H556" s="44"/>
    </row>
    <row r="557" spans="1:8" ht="13">
      <c r="A557" s="44"/>
      <c r="B557" s="179"/>
      <c r="C557" s="414"/>
      <c r="D557" s="414"/>
      <c r="E557" s="44"/>
      <c r="H557" s="44"/>
    </row>
    <row r="558" spans="1:8" ht="13">
      <c r="A558" s="44"/>
      <c r="B558" s="179"/>
      <c r="C558" s="414"/>
      <c r="D558" s="414"/>
      <c r="E558" s="44"/>
      <c r="H558" s="44"/>
    </row>
    <row r="559" spans="1:8" ht="13">
      <c r="A559" s="44"/>
      <c r="B559" s="179"/>
      <c r="C559" s="414"/>
      <c r="D559" s="414"/>
      <c r="E559" s="44"/>
      <c r="H559" s="44"/>
    </row>
    <row r="560" spans="1:8" ht="13">
      <c r="A560" s="44"/>
      <c r="B560" s="179"/>
      <c r="C560" s="414"/>
      <c r="D560" s="414"/>
      <c r="E560" s="44"/>
      <c r="H560" s="44"/>
    </row>
    <row r="561" spans="1:8" ht="13">
      <c r="A561" s="44"/>
      <c r="B561" s="179"/>
      <c r="C561" s="414"/>
      <c r="D561" s="414"/>
      <c r="E561" s="44"/>
      <c r="H561" s="44"/>
    </row>
    <row r="562" spans="1:8" ht="13">
      <c r="A562" s="44"/>
      <c r="B562" s="179"/>
      <c r="C562" s="414"/>
      <c r="D562" s="414"/>
      <c r="E562" s="44"/>
      <c r="H562" s="44"/>
    </row>
    <row r="563" spans="1:8" ht="13">
      <c r="A563" s="44"/>
      <c r="B563" s="179"/>
      <c r="C563" s="414"/>
      <c r="D563" s="414"/>
      <c r="E563" s="44"/>
      <c r="H563" s="44"/>
    </row>
    <row r="564" spans="1:8" ht="13">
      <c r="A564" s="44"/>
      <c r="B564" s="179"/>
      <c r="C564" s="414"/>
      <c r="D564" s="414"/>
      <c r="E564" s="44"/>
      <c r="H564" s="44"/>
    </row>
    <row r="565" spans="1:8" ht="13">
      <c r="A565" s="44"/>
      <c r="B565" s="179"/>
      <c r="C565" s="414"/>
      <c r="D565" s="414"/>
      <c r="E565" s="44"/>
      <c r="H565" s="44"/>
    </row>
    <row r="566" spans="1:8" ht="13">
      <c r="A566" s="44"/>
      <c r="B566" s="179"/>
      <c r="C566" s="414"/>
      <c r="D566" s="414"/>
      <c r="E566" s="44"/>
      <c r="H566" s="44"/>
    </row>
    <row r="567" spans="1:8" ht="13">
      <c r="A567" s="44"/>
      <c r="B567" s="179"/>
      <c r="C567" s="414"/>
      <c r="D567" s="414"/>
      <c r="E567" s="44"/>
      <c r="H567" s="44"/>
    </row>
    <row r="568" spans="1:8" ht="13">
      <c r="A568" s="44"/>
      <c r="B568" s="179"/>
      <c r="C568" s="414"/>
      <c r="D568" s="414"/>
      <c r="E568" s="44"/>
      <c r="H568" s="44"/>
    </row>
    <row r="569" spans="1:8" ht="13">
      <c r="A569" s="44"/>
      <c r="B569" s="179"/>
      <c r="C569" s="414"/>
      <c r="D569" s="414"/>
      <c r="E569" s="44"/>
      <c r="H569" s="44"/>
    </row>
    <row r="570" spans="1:8" ht="13">
      <c r="A570" s="44"/>
      <c r="B570" s="179"/>
      <c r="C570" s="414"/>
      <c r="D570" s="414"/>
      <c r="E570" s="44"/>
      <c r="H570" s="44"/>
    </row>
    <row r="571" spans="1:8" ht="13">
      <c r="A571" s="44"/>
      <c r="B571" s="179"/>
      <c r="C571" s="414"/>
      <c r="D571" s="414"/>
      <c r="E571" s="44"/>
      <c r="H571" s="44"/>
    </row>
    <row r="572" spans="1:8" ht="13">
      <c r="A572" s="44"/>
      <c r="B572" s="179"/>
      <c r="C572" s="414"/>
      <c r="D572" s="414"/>
      <c r="E572" s="44"/>
      <c r="H572" s="44"/>
    </row>
    <row r="573" spans="1:8" ht="13">
      <c r="A573" s="44"/>
      <c r="B573" s="179"/>
      <c r="C573" s="414"/>
      <c r="D573" s="414"/>
      <c r="E573" s="44"/>
      <c r="H573" s="44"/>
    </row>
    <row r="574" spans="1:8" ht="13">
      <c r="A574" s="44"/>
      <c r="B574" s="179"/>
      <c r="C574" s="414"/>
      <c r="D574" s="414"/>
      <c r="E574" s="44"/>
      <c r="H574" s="44"/>
    </row>
    <row r="575" spans="1:8" ht="13">
      <c r="A575" s="44"/>
      <c r="B575" s="179"/>
      <c r="C575" s="414"/>
      <c r="D575" s="414"/>
      <c r="E575" s="44"/>
      <c r="H575" s="44"/>
    </row>
    <row r="576" spans="1:8" ht="13">
      <c r="A576" s="44"/>
      <c r="B576" s="179"/>
      <c r="C576" s="414"/>
      <c r="D576" s="414"/>
      <c r="E576" s="44"/>
      <c r="H576" s="44"/>
    </row>
    <row r="577" spans="1:8" ht="13">
      <c r="A577" s="44"/>
      <c r="B577" s="179"/>
      <c r="C577" s="414"/>
      <c r="D577" s="414"/>
      <c r="E577" s="44"/>
      <c r="H577" s="44"/>
    </row>
    <row r="578" spans="1:8" ht="13">
      <c r="A578" s="44"/>
      <c r="B578" s="179"/>
      <c r="C578" s="414"/>
      <c r="D578" s="414"/>
      <c r="E578" s="44"/>
      <c r="H578" s="44"/>
    </row>
    <row r="579" spans="1:8" ht="13">
      <c r="A579" s="44"/>
      <c r="B579" s="179"/>
      <c r="C579" s="414"/>
      <c r="D579" s="414"/>
      <c r="E579" s="44"/>
      <c r="H579" s="44"/>
    </row>
    <row r="580" spans="1:8" ht="13">
      <c r="A580" s="44"/>
      <c r="B580" s="179"/>
      <c r="C580" s="414"/>
      <c r="D580" s="414"/>
      <c r="E580" s="44"/>
      <c r="H580" s="44"/>
    </row>
    <row r="581" spans="1:8" ht="13">
      <c r="A581" s="44"/>
      <c r="B581" s="179"/>
      <c r="C581" s="414"/>
      <c r="D581" s="414"/>
      <c r="E581" s="44"/>
      <c r="H581" s="44"/>
    </row>
    <row r="582" spans="1:8" ht="13">
      <c r="A582" s="44"/>
      <c r="B582" s="179"/>
      <c r="C582" s="414"/>
      <c r="D582" s="414"/>
      <c r="E582" s="44"/>
      <c r="H582" s="44"/>
    </row>
    <row r="583" spans="1:8" ht="13">
      <c r="A583" s="44"/>
      <c r="B583" s="179"/>
      <c r="C583" s="414"/>
      <c r="D583" s="414"/>
      <c r="E583" s="44"/>
      <c r="H583" s="44"/>
    </row>
    <row r="584" spans="1:8" ht="13">
      <c r="A584" s="44"/>
      <c r="B584" s="179"/>
      <c r="C584" s="414"/>
      <c r="D584" s="414"/>
      <c r="E584" s="44"/>
      <c r="H584" s="44"/>
    </row>
    <row r="585" spans="1:8" ht="13">
      <c r="A585" s="44"/>
      <c r="B585" s="179"/>
      <c r="C585" s="414"/>
      <c r="D585" s="414"/>
      <c r="E585" s="44"/>
      <c r="H585" s="44"/>
    </row>
    <row r="586" spans="1:8" ht="13">
      <c r="A586" s="44"/>
      <c r="B586" s="179"/>
      <c r="C586" s="414"/>
      <c r="D586" s="414"/>
      <c r="E586" s="44"/>
      <c r="H586" s="44"/>
    </row>
    <row r="587" spans="1:8" ht="13">
      <c r="A587" s="44"/>
      <c r="B587" s="179"/>
      <c r="C587" s="414"/>
      <c r="D587" s="414"/>
      <c r="E587" s="44"/>
      <c r="H587" s="44"/>
    </row>
    <row r="588" spans="1:8" ht="13">
      <c r="A588" s="44"/>
      <c r="B588" s="179"/>
      <c r="C588" s="414"/>
      <c r="D588" s="414"/>
      <c r="E588" s="44"/>
      <c r="H588" s="44"/>
    </row>
    <row r="589" spans="1:8" ht="13">
      <c r="A589" s="44"/>
      <c r="B589" s="179"/>
      <c r="C589" s="414"/>
      <c r="D589" s="414"/>
      <c r="E589" s="44"/>
      <c r="H589" s="44"/>
    </row>
    <row r="590" spans="1:8" ht="13">
      <c r="A590" s="44"/>
      <c r="B590" s="179"/>
      <c r="C590" s="414"/>
      <c r="D590" s="414"/>
      <c r="E590" s="44"/>
      <c r="H590" s="44"/>
    </row>
    <row r="591" spans="1:8" ht="13">
      <c r="A591" s="44"/>
      <c r="B591" s="179"/>
      <c r="C591" s="414"/>
      <c r="D591" s="414"/>
      <c r="E591" s="44"/>
      <c r="H591" s="44"/>
    </row>
    <row r="592" spans="1:8" ht="13">
      <c r="A592" s="44"/>
      <c r="B592" s="179"/>
      <c r="C592" s="414"/>
      <c r="D592" s="414"/>
      <c r="E592" s="44"/>
      <c r="H592" s="44"/>
    </row>
    <row r="593" spans="1:8" ht="13">
      <c r="A593" s="44"/>
      <c r="B593" s="179"/>
      <c r="C593" s="414"/>
      <c r="D593" s="414"/>
      <c r="E593" s="44"/>
      <c r="H593" s="44"/>
    </row>
    <row r="594" spans="1:8" ht="13">
      <c r="A594" s="44"/>
      <c r="B594" s="179"/>
      <c r="C594" s="414"/>
      <c r="D594" s="414"/>
      <c r="E594" s="44"/>
      <c r="H594" s="44"/>
    </row>
    <row r="595" spans="1:8" ht="13">
      <c r="A595" s="44"/>
      <c r="B595" s="179"/>
      <c r="C595" s="414"/>
      <c r="D595" s="414"/>
      <c r="E595" s="44"/>
      <c r="H595" s="44"/>
    </row>
    <row r="596" spans="1:8" ht="13">
      <c r="A596" s="44"/>
      <c r="B596" s="179"/>
      <c r="C596" s="414"/>
      <c r="D596" s="414"/>
      <c r="E596" s="44"/>
      <c r="H596" s="44"/>
    </row>
    <row r="597" spans="1:8" ht="13">
      <c r="A597" s="44"/>
      <c r="B597" s="179"/>
      <c r="C597" s="414"/>
      <c r="D597" s="414"/>
      <c r="E597" s="44"/>
      <c r="H597" s="44"/>
    </row>
    <row r="598" spans="1:8" ht="13">
      <c r="A598" s="44"/>
      <c r="B598" s="179"/>
      <c r="C598" s="414"/>
      <c r="D598" s="414"/>
      <c r="E598" s="44"/>
      <c r="H598" s="44"/>
    </row>
    <row r="599" spans="1:8" ht="13">
      <c r="A599" s="44"/>
      <c r="B599" s="179"/>
      <c r="C599" s="414"/>
      <c r="D599" s="414"/>
      <c r="E599" s="44"/>
      <c r="H599" s="44"/>
    </row>
    <row r="600" spans="1:8" ht="13">
      <c r="A600" s="44"/>
      <c r="B600" s="179"/>
      <c r="C600" s="414"/>
      <c r="D600" s="414"/>
      <c r="E600" s="44"/>
      <c r="H600" s="44"/>
    </row>
    <row r="601" spans="1:8" ht="13">
      <c r="A601" s="44"/>
      <c r="B601" s="179"/>
      <c r="C601" s="414"/>
      <c r="D601" s="414"/>
      <c r="E601" s="44"/>
      <c r="H601" s="44"/>
    </row>
    <row r="602" spans="1:8" ht="13">
      <c r="A602" s="44"/>
      <c r="B602" s="179"/>
      <c r="C602" s="414"/>
      <c r="D602" s="414"/>
      <c r="E602" s="44"/>
      <c r="H602" s="44"/>
    </row>
    <row r="603" spans="1:8" ht="13">
      <c r="A603" s="44"/>
      <c r="B603" s="179"/>
      <c r="C603" s="414"/>
      <c r="D603" s="414"/>
      <c r="E603" s="44"/>
      <c r="H603" s="44"/>
    </row>
    <row r="604" spans="1:8" ht="13">
      <c r="A604" s="44"/>
      <c r="B604" s="179"/>
      <c r="C604" s="414"/>
      <c r="D604" s="414"/>
      <c r="E604" s="44"/>
      <c r="H604" s="44"/>
    </row>
    <row r="605" spans="1:8" ht="13">
      <c r="A605" s="44"/>
      <c r="B605" s="179"/>
      <c r="C605" s="414"/>
      <c r="D605" s="414"/>
      <c r="E605" s="44"/>
      <c r="H605" s="44"/>
    </row>
    <row r="606" spans="1:8" ht="13">
      <c r="A606" s="44"/>
      <c r="B606" s="179"/>
      <c r="C606" s="414"/>
      <c r="D606" s="414"/>
      <c r="E606" s="44"/>
      <c r="H606" s="44"/>
    </row>
    <row r="607" spans="1:8" ht="13">
      <c r="A607" s="44"/>
      <c r="B607" s="179"/>
      <c r="C607" s="414"/>
      <c r="D607" s="414"/>
      <c r="E607" s="44"/>
      <c r="H607" s="44"/>
    </row>
    <row r="608" spans="1:8" ht="13">
      <c r="A608" s="44"/>
      <c r="B608" s="179"/>
      <c r="C608" s="414"/>
      <c r="D608" s="414"/>
      <c r="E608" s="44"/>
      <c r="H608" s="44"/>
    </row>
    <row r="609" spans="1:8" ht="13">
      <c r="A609" s="44"/>
      <c r="B609" s="179"/>
      <c r="C609" s="414"/>
      <c r="D609" s="414"/>
      <c r="E609" s="44"/>
      <c r="H609" s="44"/>
    </row>
    <row r="610" spans="1:8" ht="13">
      <c r="A610" s="44"/>
      <c r="B610" s="179"/>
      <c r="C610" s="414"/>
      <c r="D610" s="414"/>
      <c r="E610" s="44"/>
      <c r="H610" s="44"/>
    </row>
    <row r="611" spans="1:8" ht="13">
      <c r="A611" s="44"/>
      <c r="B611" s="179"/>
      <c r="C611" s="414"/>
      <c r="D611" s="414"/>
      <c r="E611" s="44"/>
      <c r="H611" s="44"/>
    </row>
    <row r="612" spans="1:8" ht="13">
      <c r="A612" s="44"/>
      <c r="B612" s="179"/>
      <c r="C612" s="414"/>
      <c r="D612" s="414"/>
      <c r="E612" s="44"/>
      <c r="H612" s="44"/>
    </row>
    <row r="613" spans="1:8" ht="13">
      <c r="A613" s="44"/>
      <c r="B613" s="179"/>
      <c r="C613" s="414"/>
      <c r="D613" s="414"/>
      <c r="E613" s="44"/>
      <c r="H613" s="44"/>
    </row>
    <row r="614" spans="1:8" ht="13">
      <c r="A614" s="44"/>
      <c r="B614" s="179"/>
      <c r="C614" s="414"/>
      <c r="D614" s="414"/>
      <c r="E614" s="44"/>
      <c r="H614" s="44"/>
    </row>
    <row r="615" spans="1:8" ht="13">
      <c r="A615" s="44"/>
      <c r="B615" s="179"/>
      <c r="C615" s="414"/>
      <c r="D615" s="414"/>
      <c r="E615" s="44"/>
      <c r="H615" s="44"/>
    </row>
    <row r="616" spans="1:8" ht="13">
      <c r="A616" s="44"/>
      <c r="B616" s="179"/>
      <c r="C616" s="414"/>
      <c r="D616" s="414"/>
      <c r="E616" s="44"/>
      <c r="H616" s="44"/>
    </row>
    <row r="617" spans="1:8" ht="13">
      <c r="A617" s="44"/>
      <c r="B617" s="179"/>
      <c r="C617" s="414"/>
      <c r="D617" s="414"/>
      <c r="E617" s="44"/>
      <c r="H617" s="44"/>
    </row>
    <row r="618" spans="1:8" ht="13">
      <c r="A618" s="44"/>
      <c r="B618" s="179"/>
      <c r="C618" s="414"/>
      <c r="D618" s="414"/>
      <c r="E618" s="44"/>
      <c r="H618" s="44"/>
    </row>
    <row r="619" spans="1:8" ht="13">
      <c r="A619" s="44"/>
      <c r="B619" s="179"/>
      <c r="C619" s="414"/>
      <c r="D619" s="414"/>
      <c r="E619" s="44"/>
      <c r="H619" s="44"/>
    </row>
    <row r="620" spans="1:8" ht="13">
      <c r="A620" s="44"/>
      <c r="B620" s="179"/>
      <c r="C620" s="414"/>
      <c r="D620" s="414"/>
      <c r="E620" s="44"/>
      <c r="H620" s="44"/>
    </row>
    <row r="621" spans="1:8" ht="13">
      <c r="A621" s="44"/>
      <c r="B621" s="179"/>
      <c r="C621" s="414"/>
      <c r="D621" s="414"/>
      <c r="E621" s="44"/>
      <c r="H621" s="44"/>
    </row>
    <row r="622" spans="1:8" ht="13">
      <c r="A622" s="44"/>
      <c r="B622" s="179"/>
      <c r="C622" s="414"/>
      <c r="D622" s="414"/>
      <c r="E622" s="44"/>
      <c r="H622" s="44"/>
    </row>
    <row r="623" spans="1:8" ht="13">
      <c r="A623" s="44"/>
      <c r="B623" s="179"/>
      <c r="C623" s="414"/>
      <c r="D623" s="414"/>
      <c r="E623" s="44"/>
      <c r="H623" s="44"/>
    </row>
    <row r="624" spans="1:8" ht="13">
      <c r="A624" s="44"/>
      <c r="B624" s="179"/>
      <c r="C624" s="414"/>
      <c r="D624" s="414"/>
      <c r="E624" s="44"/>
      <c r="H624" s="44"/>
    </row>
    <row r="625" spans="1:8" ht="13">
      <c r="A625" s="44"/>
      <c r="B625" s="179"/>
      <c r="C625" s="414"/>
      <c r="D625" s="414"/>
      <c r="E625" s="44"/>
      <c r="H625" s="44"/>
    </row>
    <row r="626" spans="1:8" ht="13">
      <c r="A626" s="44"/>
      <c r="B626" s="179"/>
      <c r="C626" s="414"/>
      <c r="D626" s="414"/>
      <c r="E626" s="44"/>
      <c r="H626" s="44"/>
    </row>
    <row r="627" spans="1:8" ht="13">
      <c r="A627" s="44"/>
      <c r="B627" s="179"/>
      <c r="C627" s="414"/>
      <c r="D627" s="414"/>
      <c r="E627" s="44"/>
      <c r="H627" s="44"/>
    </row>
    <row r="628" spans="1:8" ht="13">
      <c r="A628" s="44"/>
      <c r="B628" s="179"/>
      <c r="C628" s="414"/>
      <c r="D628" s="414"/>
      <c r="E628" s="44"/>
      <c r="H628" s="44"/>
    </row>
    <row r="629" spans="1:8" ht="13">
      <c r="A629" s="44"/>
      <c r="B629" s="179"/>
      <c r="C629" s="414"/>
      <c r="D629" s="414"/>
      <c r="E629" s="44"/>
      <c r="H629" s="44"/>
    </row>
    <row r="630" spans="1:8" ht="13">
      <c r="A630" s="44"/>
      <c r="B630" s="179"/>
      <c r="C630" s="414"/>
      <c r="D630" s="414"/>
      <c r="E630" s="44"/>
      <c r="H630" s="44"/>
    </row>
    <row r="631" spans="1:8" ht="13">
      <c r="A631" s="44"/>
      <c r="B631" s="179"/>
      <c r="C631" s="414"/>
      <c r="D631" s="414"/>
      <c r="E631" s="44"/>
      <c r="H631" s="44"/>
    </row>
    <row r="632" spans="1:8" ht="13">
      <c r="A632" s="44"/>
      <c r="B632" s="179"/>
      <c r="C632" s="414"/>
      <c r="D632" s="414"/>
      <c r="E632" s="44"/>
      <c r="H632" s="44"/>
    </row>
    <row r="633" spans="1:8" ht="13">
      <c r="A633" s="44"/>
      <c r="B633" s="179"/>
      <c r="C633" s="414"/>
      <c r="D633" s="414"/>
      <c r="E633" s="44"/>
      <c r="H633" s="44"/>
    </row>
    <row r="634" spans="1:8" ht="13">
      <c r="A634" s="44"/>
      <c r="B634" s="179"/>
      <c r="C634" s="414"/>
      <c r="D634" s="414"/>
      <c r="E634" s="44"/>
      <c r="H634" s="44"/>
    </row>
    <row r="635" spans="1:8" ht="13">
      <c r="A635" s="44"/>
      <c r="B635" s="179"/>
      <c r="C635" s="414"/>
      <c r="D635" s="414"/>
      <c r="E635" s="44"/>
      <c r="H635" s="44"/>
    </row>
    <row r="636" spans="1:8" ht="13">
      <c r="A636" s="44"/>
      <c r="B636" s="179"/>
      <c r="C636" s="414"/>
      <c r="D636" s="414"/>
      <c r="E636" s="44"/>
      <c r="H636" s="44"/>
    </row>
    <row r="637" spans="1:8" ht="13">
      <c r="A637" s="44"/>
      <c r="B637" s="179"/>
      <c r="C637" s="414"/>
      <c r="D637" s="414"/>
      <c r="E637" s="44"/>
      <c r="H637" s="44"/>
    </row>
    <row r="638" spans="1:8" ht="13">
      <c r="A638" s="44"/>
      <c r="B638" s="179"/>
      <c r="C638" s="414"/>
      <c r="D638" s="414"/>
      <c r="E638" s="44"/>
      <c r="H638" s="44"/>
    </row>
    <row r="639" spans="1:8" ht="13">
      <c r="A639" s="44"/>
      <c r="B639" s="179"/>
      <c r="C639" s="414"/>
      <c r="D639" s="414"/>
      <c r="E639" s="44"/>
      <c r="H639" s="44"/>
    </row>
    <row r="640" spans="1:8" ht="13">
      <c r="A640" s="44"/>
      <c r="B640" s="179"/>
      <c r="C640" s="414"/>
      <c r="D640" s="414"/>
      <c r="E640" s="44"/>
      <c r="H640" s="44"/>
    </row>
    <row r="641" spans="1:8" ht="13">
      <c r="A641" s="44"/>
      <c r="B641" s="179"/>
      <c r="C641" s="414"/>
      <c r="D641" s="414"/>
      <c r="E641" s="44"/>
      <c r="H641" s="44"/>
    </row>
    <row r="642" spans="1:8" ht="13">
      <c r="A642" s="44"/>
      <c r="B642" s="179"/>
      <c r="C642" s="414"/>
      <c r="D642" s="414"/>
      <c r="E642" s="44"/>
      <c r="H642" s="44"/>
    </row>
    <row r="643" spans="1:8" ht="13">
      <c r="A643" s="44"/>
      <c r="B643" s="179"/>
      <c r="C643" s="414"/>
      <c r="D643" s="414"/>
      <c r="E643" s="44"/>
      <c r="H643" s="44"/>
    </row>
    <row r="644" spans="1:8" ht="13">
      <c r="A644" s="44"/>
      <c r="B644" s="179"/>
      <c r="C644" s="414"/>
      <c r="D644" s="414"/>
      <c r="E644" s="44"/>
      <c r="H644" s="44"/>
    </row>
    <row r="645" spans="1:8" ht="13">
      <c r="A645" s="44"/>
      <c r="B645" s="179"/>
      <c r="C645" s="414"/>
      <c r="D645" s="414"/>
      <c r="E645" s="44"/>
      <c r="H645" s="44"/>
    </row>
    <row r="646" spans="1:8" ht="13">
      <c r="A646" s="44"/>
      <c r="B646" s="179"/>
      <c r="C646" s="414"/>
      <c r="D646" s="414"/>
      <c r="E646" s="44"/>
      <c r="H646" s="44"/>
    </row>
    <row r="647" spans="1:8" ht="13">
      <c r="A647" s="44"/>
      <c r="B647" s="179"/>
      <c r="C647" s="414"/>
      <c r="D647" s="414"/>
      <c r="E647" s="44"/>
      <c r="H647" s="44"/>
    </row>
    <row r="648" spans="1:8" ht="13">
      <c r="A648" s="44"/>
      <c r="B648" s="179"/>
      <c r="C648" s="414"/>
      <c r="D648" s="414"/>
      <c r="E648" s="44"/>
      <c r="H648" s="44"/>
    </row>
    <row r="649" spans="1:8" ht="13">
      <c r="A649" s="44"/>
      <c r="B649" s="179"/>
      <c r="C649" s="414"/>
      <c r="D649" s="414"/>
      <c r="E649" s="44"/>
      <c r="H649" s="44"/>
    </row>
    <row r="650" spans="1:8" ht="13">
      <c r="A650" s="44"/>
      <c r="B650" s="179"/>
      <c r="C650" s="414"/>
      <c r="D650" s="414"/>
      <c r="E650" s="44"/>
      <c r="H650" s="44"/>
    </row>
    <row r="651" spans="1:8" ht="13">
      <c r="A651" s="44"/>
      <c r="B651" s="179"/>
      <c r="C651" s="414"/>
      <c r="D651" s="414"/>
      <c r="E651" s="44"/>
      <c r="H651" s="44"/>
    </row>
    <row r="652" spans="1:8" ht="13">
      <c r="A652" s="44"/>
      <c r="B652" s="179"/>
      <c r="C652" s="414"/>
      <c r="D652" s="414"/>
      <c r="E652" s="44"/>
      <c r="H652" s="44"/>
    </row>
    <row r="653" spans="1:8" ht="13">
      <c r="A653" s="44"/>
      <c r="B653" s="179"/>
      <c r="C653" s="414"/>
      <c r="D653" s="414"/>
      <c r="E653" s="44"/>
      <c r="H653" s="44"/>
    </row>
    <row r="654" spans="1:8" ht="13">
      <c r="A654" s="44"/>
      <c r="B654" s="179"/>
      <c r="C654" s="414"/>
      <c r="D654" s="414"/>
      <c r="E654" s="44"/>
      <c r="H654" s="44"/>
    </row>
    <row r="655" spans="1:8" ht="13">
      <c r="A655" s="44"/>
      <c r="B655" s="179"/>
      <c r="C655" s="414"/>
      <c r="D655" s="414"/>
      <c r="E655" s="44"/>
      <c r="H655" s="44"/>
    </row>
    <row r="656" spans="1:8" ht="13">
      <c r="A656" s="44"/>
      <c r="B656" s="179"/>
      <c r="C656" s="414"/>
      <c r="D656" s="414"/>
      <c r="E656" s="44"/>
      <c r="H656" s="44"/>
    </row>
    <row r="657" spans="1:8" ht="13">
      <c r="A657" s="44"/>
      <c r="B657" s="179"/>
      <c r="C657" s="414"/>
      <c r="D657" s="414"/>
      <c r="E657" s="44"/>
      <c r="H657" s="44"/>
    </row>
    <row r="658" spans="1:8" ht="13">
      <c r="A658" s="44"/>
      <c r="B658" s="179"/>
      <c r="C658" s="414"/>
      <c r="D658" s="414"/>
      <c r="E658" s="44"/>
      <c r="H658" s="44"/>
    </row>
    <row r="659" spans="1:8" ht="13">
      <c r="A659" s="44"/>
      <c r="B659" s="179"/>
      <c r="C659" s="414"/>
      <c r="D659" s="414"/>
      <c r="E659" s="44"/>
      <c r="H659" s="44"/>
    </row>
    <row r="660" spans="1:8" ht="13">
      <c r="A660" s="44"/>
      <c r="B660" s="179"/>
      <c r="C660" s="414"/>
      <c r="D660" s="414"/>
      <c r="E660" s="44"/>
      <c r="H660" s="44"/>
    </row>
    <row r="661" spans="1:8" ht="13">
      <c r="A661" s="44"/>
      <c r="B661" s="179"/>
      <c r="C661" s="414"/>
      <c r="D661" s="414"/>
      <c r="E661" s="44"/>
      <c r="H661" s="44"/>
    </row>
    <row r="662" spans="1:8" ht="13">
      <c r="A662" s="44"/>
      <c r="B662" s="179"/>
      <c r="C662" s="414"/>
      <c r="D662" s="414"/>
      <c r="E662" s="44"/>
      <c r="H662" s="44"/>
    </row>
    <row r="663" spans="1:8" ht="13">
      <c r="A663" s="44"/>
      <c r="B663" s="179"/>
      <c r="C663" s="414"/>
      <c r="D663" s="414"/>
      <c r="E663" s="44"/>
      <c r="H663" s="44"/>
    </row>
    <row r="664" spans="1:8" ht="13">
      <c r="A664" s="44"/>
      <c r="B664" s="179"/>
      <c r="C664" s="414"/>
      <c r="D664" s="414"/>
      <c r="E664" s="44"/>
      <c r="H664" s="44"/>
    </row>
    <row r="665" spans="1:8" ht="13">
      <c r="A665" s="44"/>
      <c r="B665" s="179"/>
      <c r="C665" s="414"/>
      <c r="D665" s="414"/>
      <c r="E665" s="44"/>
      <c r="H665" s="44"/>
    </row>
    <row r="666" spans="1:8" ht="13">
      <c r="A666" s="44"/>
      <c r="B666" s="179"/>
      <c r="C666" s="414"/>
      <c r="D666" s="414"/>
      <c r="E666" s="44"/>
      <c r="H666" s="44"/>
    </row>
    <row r="667" spans="1:8" ht="13">
      <c r="A667" s="44"/>
      <c r="B667" s="179"/>
      <c r="C667" s="414"/>
      <c r="D667" s="414"/>
      <c r="E667" s="44"/>
      <c r="H667" s="44"/>
    </row>
    <row r="668" spans="1:8" ht="13">
      <c r="A668" s="44"/>
      <c r="B668" s="179"/>
      <c r="C668" s="414"/>
      <c r="D668" s="414"/>
      <c r="E668" s="44"/>
      <c r="H668" s="44"/>
    </row>
    <row r="669" spans="1:8" ht="13">
      <c r="A669" s="44"/>
      <c r="B669" s="179"/>
      <c r="C669" s="414"/>
      <c r="D669" s="414"/>
      <c r="E669" s="44"/>
      <c r="H669" s="44"/>
    </row>
    <row r="670" spans="1:8" ht="13">
      <c r="A670" s="44"/>
      <c r="B670" s="179"/>
      <c r="C670" s="414"/>
      <c r="D670" s="414"/>
      <c r="E670" s="44"/>
      <c r="H670" s="44"/>
    </row>
    <row r="671" spans="1:8" ht="13">
      <c r="A671" s="44"/>
      <c r="B671" s="179"/>
      <c r="C671" s="414"/>
      <c r="D671" s="414"/>
      <c r="E671" s="44"/>
      <c r="H671" s="44"/>
    </row>
    <row r="672" spans="1:8" ht="13">
      <c r="A672" s="44"/>
      <c r="B672" s="179"/>
      <c r="C672" s="414"/>
      <c r="D672" s="414"/>
      <c r="E672" s="44"/>
      <c r="H672" s="44"/>
    </row>
    <row r="673" spans="1:8" ht="13">
      <c r="A673" s="44"/>
      <c r="B673" s="179"/>
      <c r="C673" s="414"/>
      <c r="D673" s="414"/>
      <c r="E673" s="44"/>
      <c r="H673" s="44"/>
    </row>
    <row r="674" spans="1:8" ht="13">
      <c r="A674" s="44"/>
      <c r="B674" s="179"/>
      <c r="C674" s="414"/>
      <c r="D674" s="414"/>
      <c r="E674" s="44"/>
      <c r="H674" s="44"/>
    </row>
    <row r="675" spans="1:8" ht="13">
      <c r="A675" s="44"/>
      <c r="B675" s="179"/>
      <c r="C675" s="414"/>
      <c r="D675" s="414"/>
      <c r="E675" s="44"/>
      <c r="H675" s="44"/>
    </row>
    <row r="676" spans="1:8" ht="13">
      <c r="A676" s="44"/>
      <c r="B676" s="179"/>
      <c r="C676" s="414"/>
      <c r="D676" s="414"/>
      <c r="E676" s="44"/>
      <c r="H676" s="44"/>
    </row>
    <row r="677" spans="1:8" ht="13">
      <c r="A677" s="44"/>
      <c r="B677" s="179"/>
      <c r="C677" s="414"/>
      <c r="D677" s="414"/>
      <c r="E677" s="44"/>
      <c r="H677" s="44"/>
    </row>
    <row r="678" spans="1:8" ht="13">
      <c r="A678" s="44"/>
      <c r="B678" s="179"/>
      <c r="C678" s="414"/>
      <c r="D678" s="414"/>
      <c r="E678" s="44"/>
      <c r="H678" s="44"/>
    </row>
    <row r="679" spans="1:8" ht="13">
      <c r="A679" s="44"/>
      <c r="B679" s="179"/>
      <c r="C679" s="414"/>
      <c r="D679" s="414"/>
      <c r="E679" s="44"/>
      <c r="H679" s="44"/>
    </row>
    <row r="680" spans="1:8" ht="13">
      <c r="A680" s="44"/>
      <c r="B680" s="179"/>
      <c r="C680" s="414"/>
      <c r="D680" s="414"/>
      <c r="E680" s="44"/>
      <c r="H680" s="44"/>
    </row>
    <row r="681" spans="1:8" ht="13">
      <c r="A681" s="44"/>
      <c r="B681" s="179"/>
      <c r="C681" s="414"/>
      <c r="D681" s="414"/>
      <c r="E681" s="44"/>
      <c r="H681" s="44"/>
    </row>
    <row r="682" spans="1:8" ht="13">
      <c r="A682" s="44"/>
      <c r="B682" s="179"/>
      <c r="C682" s="414"/>
      <c r="D682" s="414"/>
      <c r="E682" s="44"/>
      <c r="H682" s="44"/>
    </row>
    <row r="683" spans="1:8" ht="13">
      <c r="A683" s="44"/>
      <c r="B683" s="179"/>
      <c r="C683" s="414"/>
      <c r="D683" s="414"/>
      <c r="E683" s="44"/>
      <c r="H683" s="44"/>
    </row>
    <row r="684" spans="1:8" ht="13">
      <c r="A684" s="44"/>
      <c r="B684" s="179"/>
      <c r="C684" s="414"/>
      <c r="D684" s="414"/>
      <c r="E684" s="44"/>
      <c r="H684" s="44"/>
    </row>
    <row r="685" spans="1:8" ht="13">
      <c r="A685" s="44"/>
      <c r="B685" s="179"/>
      <c r="C685" s="414"/>
      <c r="D685" s="414"/>
      <c r="E685" s="44"/>
      <c r="H685" s="44"/>
    </row>
    <row r="686" spans="1:8" ht="13">
      <c r="A686" s="44"/>
      <c r="B686" s="179"/>
      <c r="C686" s="414"/>
      <c r="D686" s="414"/>
      <c r="E686" s="44"/>
      <c r="H686" s="44"/>
    </row>
    <row r="687" spans="1:8" ht="13">
      <c r="A687" s="44"/>
      <c r="B687" s="179"/>
      <c r="C687" s="414"/>
      <c r="D687" s="414"/>
      <c r="E687" s="44"/>
      <c r="H687" s="44"/>
    </row>
    <row r="688" spans="1:8" ht="13">
      <c r="A688" s="44"/>
      <c r="B688" s="179"/>
      <c r="C688" s="414"/>
      <c r="D688" s="414"/>
      <c r="E688" s="44"/>
      <c r="H688" s="44"/>
    </row>
    <row r="689" spans="1:8" ht="13">
      <c r="A689" s="44"/>
      <c r="B689" s="179"/>
      <c r="C689" s="414"/>
      <c r="D689" s="414"/>
      <c r="E689" s="44"/>
      <c r="H689" s="44"/>
    </row>
    <row r="690" spans="1:8" ht="13">
      <c r="A690" s="44"/>
      <c r="B690" s="179"/>
      <c r="C690" s="414"/>
      <c r="D690" s="414"/>
      <c r="E690" s="44"/>
      <c r="H690" s="44"/>
    </row>
    <row r="691" spans="1:8" ht="13">
      <c r="A691" s="44"/>
      <c r="B691" s="179"/>
      <c r="C691" s="414"/>
      <c r="D691" s="414"/>
      <c r="E691" s="44"/>
      <c r="H691" s="44"/>
    </row>
    <row r="692" spans="1:8" ht="13">
      <c r="A692" s="44"/>
      <c r="B692" s="179"/>
      <c r="C692" s="414"/>
      <c r="D692" s="414"/>
      <c r="E692" s="44"/>
      <c r="H692" s="44"/>
    </row>
    <row r="693" spans="1:8" ht="13">
      <c r="A693" s="44"/>
      <c r="B693" s="179"/>
      <c r="C693" s="414"/>
      <c r="D693" s="414"/>
      <c r="E693" s="44"/>
      <c r="H693" s="44"/>
    </row>
    <row r="694" spans="1:8" ht="13">
      <c r="A694" s="44"/>
      <c r="B694" s="179"/>
      <c r="C694" s="414"/>
      <c r="D694" s="414"/>
      <c r="E694" s="44"/>
      <c r="H694" s="44"/>
    </row>
    <row r="695" spans="1:8" ht="13">
      <c r="A695" s="44"/>
      <c r="B695" s="179"/>
      <c r="C695" s="414"/>
      <c r="D695" s="414"/>
      <c r="E695" s="44"/>
      <c r="H695" s="44"/>
    </row>
    <row r="696" spans="1:8" ht="13">
      <c r="A696" s="44"/>
      <c r="B696" s="179"/>
      <c r="C696" s="414"/>
      <c r="D696" s="414"/>
      <c r="E696" s="44"/>
      <c r="H696" s="44"/>
    </row>
    <row r="697" spans="1:8" ht="13">
      <c r="A697" s="44"/>
      <c r="B697" s="179"/>
      <c r="C697" s="414"/>
      <c r="D697" s="414"/>
      <c r="E697" s="44"/>
      <c r="H697" s="44"/>
    </row>
    <row r="698" spans="1:8" ht="13">
      <c r="A698" s="44"/>
      <c r="B698" s="179"/>
      <c r="C698" s="414"/>
      <c r="D698" s="414"/>
      <c r="E698" s="44"/>
      <c r="H698" s="44"/>
    </row>
    <row r="699" spans="1:8" ht="13">
      <c r="A699" s="44"/>
      <c r="B699" s="179"/>
      <c r="C699" s="414"/>
      <c r="D699" s="414"/>
      <c r="E699" s="44"/>
      <c r="H699" s="44"/>
    </row>
    <row r="700" spans="1:8" ht="13">
      <c r="A700" s="44"/>
      <c r="B700" s="179"/>
      <c r="C700" s="414"/>
      <c r="D700" s="414"/>
      <c r="E700" s="44"/>
      <c r="H700" s="44"/>
    </row>
    <row r="701" spans="1:8" ht="13">
      <c r="A701" s="44"/>
      <c r="B701" s="179"/>
      <c r="C701" s="414"/>
      <c r="D701" s="414"/>
      <c r="E701" s="44"/>
      <c r="H701" s="44"/>
    </row>
    <row r="702" spans="1:8" ht="13">
      <c r="A702" s="44"/>
      <c r="B702" s="179"/>
      <c r="C702" s="414"/>
      <c r="D702" s="414"/>
      <c r="E702" s="44"/>
      <c r="H702" s="44"/>
    </row>
    <row r="703" spans="1:8" ht="13">
      <c r="A703" s="44"/>
      <c r="B703" s="179"/>
      <c r="C703" s="414"/>
      <c r="D703" s="414"/>
      <c r="E703" s="44"/>
      <c r="H703" s="44"/>
    </row>
    <row r="704" spans="1:8" ht="13">
      <c r="A704" s="44"/>
      <c r="B704" s="179"/>
      <c r="C704" s="414"/>
      <c r="D704" s="414"/>
      <c r="E704" s="44"/>
      <c r="H704" s="44"/>
    </row>
    <row r="705" spans="1:8" ht="13">
      <c r="A705" s="44"/>
      <c r="B705" s="179"/>
      <c r="C705" s="414"/>
      <c r="D705" s="414"/>
      <c r="E705" s="44"/>
      <c r="H705" s="44"/>
    </row>
    <row r="706" spans="1:8" ht="13">
      <c r="A706" s="44"/>
      <c r="B706" s="179"/>
      <c r="C706" s="414"/>
      <c r="D706" s="414"/>
      <c r="E706" s="44"/>
      <c r="H706" s="44"/>
    </row>
    <row r="707" spans="1:8" ht="13">
      <c r="A707" s="44"/>
      <c r="B707" s="179"/>
      <c r="C707" s="414"/>
      <c r="D707" s="414"/>
      <c r="E707" s="44"/>
      <c r="H707" s="44"/>
    </row>
    <row r="708" spans="1:8" ht="13">
      <c r="A708" s="44"/>
      <c r="B708" s="179"/>
      <c r="C708" s="414"/>
      <c r="D708" s="414"/>
      <c r="E708" s="44"/>
      <c r="H708" s="44"/>
    </row>
    <row r="709" spans="1:8" ht="13">
      <c r="A709" s="44"/>
      <c r="B709" s="179"/>
      <c r="C709" s="414"/>
      <c r="D709" s="414"/>
      <c r="E709" s="44"/>
      <c r="H709" s="44"/>
    </row>
    <row r="710" spans="1:8" ht="13">
      <c r="A710" s="44"/>
      <c r="B710" s="179"/>
      <c r="C710" s="414"/>
      <c r="D710" s="414"/>
      <c r="E710" s="44"/>
      <c r="H710" s="44"/>
    </row>
    <row r="711" spans="1:8" ht="13">
      <c r="A711" s="44"/>
      <c r="B711" s="179"/>
      <c r="C711" s="414"/>
      <c r="D711" s="414"/>
      <c r="E711" s="44"/>
      <c r="H711" s="44"/>
    </row>
    <row r="712" spans="1:8" ht="13">
      <c r="A712" s="44"/>
      <c r="B712" s="179"/>
      <c r="C712" s="414"/>
      <c r="D712" s="414"/>
      <c r="E712" s="44"/>
      <c r="H712" s="44"/>
    </row>
    <row r="713" spans="1:8" ht="13">
      <c r="A713" s="44"/>
      <c r="B713" s="179"/>
      <c r="C713" s="414"/>
      <c r="D713" s="414"/>
      <c r="E713" s="44"/>
      <c r="H713" s="44"/>
    </row>
    <row r="714" spans="1:8" ht="13">
      <c r="A714" s="44"/>
      <c r="B714" s="179"/>
      <c r="C714" s="414"/>
      <c r="D714" s="414"/>
      <c r="E714" s="44"/>
      <c r="H714" s="44"/>
    </row>
    <row r="715" spans="1:8" ht="13">
      <c r="A715" s="44"/>
      <c r="B715" s="179"/>
      <c r="C715" s="414"/>
      <c r="D715" s="414"/>
      <c r="E715" s="44"/>
      <c r="H715" s="44"/>
    </row>
    <row r="716" spans="1:8" ht="13">
      <c r="A716" s="44"/>
      <c r="B716" s="179"/>
      <c r="C716" s="414"/>
      <c r="D716" s="414"/>
      <c r="E716" s="44"/>
      <c r="H716" s="44"/>
    </row>
    <row r="717" spans="1:8" ht="13">
      <c r="A717" s="44"/>
      <c r="B717" s="179"/>
      <c r="C717" s="414"/>
      <c r="D717" s="414"/>
      <c r="E717" s="44"/>
      <c r="H717" s="44"/>
    </row>
    <row r="718" spans="1:8" ht="13">
      <c r="A718" s="44"/>
      <c r="B718" s="179"/>
      <c r="C718" s="414"/>
      <c r="D718" s="414"/>
      <c r="E718" s="44"/>
      <c r="H718" s="44"/>
    </row>
    <row r="719" spans="1:8" ht="13">
      <c r="A719" s="44"/>
      <c r="B719" s="179"/>
      <c r="C719" s="414"/>
      <c r="D719" s="414"/>
      <c r="E719" s="44"/>
      <c r="H719" s="44"/>
    </row>
    <row r="720" spans="1:8" ht="13">
      <c r="A720" s="44"/>
      <c r="B720" s="179"/>
      <c r="C720" s="414"/>
      <c r="D720" s="414"/>
      <c r="E720" s="44"/>
      <c r="H720" s="44"/>
    </row>
    <row r="721" spans="1:8" ht="13">
      <c r="A721" s="44"/>
      <c r="B721" s="179"/>
      <c r="C721" s="414"/>
      <c r="D721" s="414"/>
      <c r="E721" s="44"/>
      <c r="H721" s="44"/>
    </row>
    <row r="722" spans="1:8" ht="13">
      <c r="A722" s="44"/>
      <c r="B722" s="179"/>
      <c r="C722" s="414"/>
      <c r="D722" s="414"/>
      <c r="E722" s="44"/>
      <c r="H722" s="44"/>
    </row>
    <row r="723" spans="1:8" ht="13">
      <c r="A723" s="44"/>
      <c r="B723" s="179"/>
      <c r="C723" s="414"/>
      <c r="D723" s="414"/>
      <c r="E723" s="44"/>
      <c r="H723" s="44"/>
    </row>
    <row r="724" spans="1:8" ht="13">
      <c r="A724" s="44"/>
      <c r="B724" s="179"/>
      <c r="C724" s="414"/>
      <c r="D724" s="414"/>
      <c r="E724" s="44"/>
      <c r="H724" s="44"/>
    </row>
    <row r="725" spans="1:8" ht="13">
      <c r="A725" s="44"/>
      <c r="B725" s="179"/>
      <c r="C725" s="414"/>
      <c r="D725" s="414"/>
      <c r="E725" s="44"/>
      <c r="H725" s="44"/>
    </row>
    <row r="726" spans="1:8" ht="13">
      <c r="A726" s="44"/>
      <c r="B726" s="179"/>
      <c r="C726" s="414"/>
      <c r="D726" s="414"/>
      <c r="E726" s="44"/>
      <c r="H726" s="44"/>
    </row>
    <row r="727" spans="1:8" ht="13">
      <c r="A727" s="44"/>
      <c r="B727" s="179"/>
      <c r="C727" s="414"/>
      <c r="D727" s="414"/>
      <c r="E727" s="44"/>
      <c r="H727" s="44"/>
    </row>
    <row r="728" spans="1:8" ht="13">
      <c r="A728" s="44"/>
      <c r="B728" s="179"/>
      <c r="C728" s="414"/>
      <c r="D728" s="414"/>
      <c r="E728" s="44"/>
      <c r="H728" s="44"/>
    </row>
    <row r="729" spans="1:8" ht="13">
      <c r="A729" s="44"/>
      <c r="B729" s="179"/>
      <c r="C729" s="414"/>
      <c r="D729" s="414"/>
      <c r="E729" s="44"/>
      <c r="H729" s="44"/>
    </row>
    <row r="730" spans="1:8" ht="13">
      <c r="A730" s="44"/>
      <c r="B730" s="179"/>
      <c r="C730" s="414"/>
      <c r="D730" s="414"/>
      <c r="E730" s="44"/>
      <c r="H730" s="44"/>
    </row>
    <row r="731" spans="1:8" ht="13">
      <c r="A731" s="44"/>
      <c r="B731" s="179"/>
      <c r="C731" s="414"/>
      <c r="D731" s="414"/>
      <c r="E731" s="44"/>
      <c r="H731" s="44"/>
    </row>
    <row r="732" spans="1:8" ht="13">
      <c r="A732" s="44"/>
      <c r="B732" s="179"/>
      <c r="C732" s="414"/>
      <c r="D732" s="414"/>
      <c r="E732" s="44"/>
      <c r="H732" s="44"/>
    </row>
    <row r="733" spans="1:8" ht="13">
      <c r="A733" s="44"/>
      <c r="B733" s="179"/>
      <c r="C733" s="414"/>
      <c r="D733" s="414"/>
      <c r="E733" s="44"/>
      <c r="H733" s="44"/>
    </row>
    <row r="734" spans="1:8" ht="13">
      <c r="A734" s="44"/>
      <c r="B734" s="179"/>
      <c r="C734" s="414"/>
      <c r="D734" s="414"/>
      <c r="E734" s="44"/>
      <c r="H734" s="44"/>
    </row>
    <row r="735" spans="1:8" ht="13">
      <c r="A735" s="44"/>
      <c r="B735" s="179"/>
      <c r="C735" s="414"/>
      <c r="D735" s="414"/>
      <c r="E735" s="44"/>
      <c r="H735" s="44"/>
    </row>
    <row r="736" spans="1:8" ht="13">
      <c r="A736" s="44"/>
      <c r="B736" s="179"/>
      <c r="C736" s="414"/>
      <c r="D736" s="414"/>
      <c r="E736" s="44"/>
      <c r="H736" s="44"/>
    </row>
    <row r="737" spans="1:8" ht="13">
      <c r="A737" s="44"/>
      <c r="B737" s="179"/>
      <c r="C737" s="414"/>
      <c r="D737" s="414"/>
      <c r="E737" s="44"/>
      <c r="H737" s="44"/>
    </row>
    <row r="738" spans="1:8" ht="13">
      <c r="A738" s="44"/>
      <c r="B738" s="179"/>
      <c r="C738" s="414"/>
      <c r="D738" s="414"/>
      <c r="E738" s="44"/>
      <c r="H738" s="44"/>
    </row>
    <row r="739" spans="1:8" ht="13">
      <c r="A739" s="44"/>
      <c r="B739" s="179"/>
      <c r="C739" s="414"/>
      <c r="D739" s="414"/>
      <c r="E739" s="44"/>
      <c r="H739" s="44"/>
    </row>
    <row r="740" spans="1:8" ht="13">
      <c r="A740" s="44"/>
      <c r="B740" s="179"/>
      <c r="C740" s="414"/>
      <c r="D740" s="414"/>
      <c r="E740" s="44"/>
      <c r="H740" s="44"/>
    </row>
    <row r="741" spans="1:8" ht="13">
      <c r="A741" s="44"/>
      <c r="B741" s="179"/>
      <c r="C741" s="414"/>
      <c r="D741" s="414"/>
      <c r="E741" s="44"/>
      <c r="H741" s="44"/>
    </row>
    <row r="742" spans="1:8" ht="13">
      <c r="A742" s="44"/>
      <c r="B742" s="179"/>
      <c r="C742" s="414"/>
      <c r="D742" s="414"/>
      <c r="E742" s="44"/>
      <c r="H742" s="44"/>
    </row>
    <row r="743" spans="1:8" ht="13">
      <c r="A743" s="44"/>
      <c r="B743" s="179"/>
      <c r="C743" s="414"/>
      <c r="D743" s="414"/>
      <c r="E743" s="44"/>
      <c r="H743" s="44"/>
    </row>
    <row r="744" spans="1:8" ht="13">
      <c r="A744" s="44"/>
      <c r="B744" s="179"/>
      <c r="C744" s="414"/>
      <c r="D744" s="414"/>
      <c r="E744" s="44"/>
      <c r="H744" s="44"/>
    </row>
    <row r="745" spans="1:8" ht="13">
      <c r="A745" s="44"/>
      <c r="B745" s="179"/>
      <c r="C745" s="414"/>
      <c r="D745" s="414"/>
      <c r="E745" s="44"/>
      <c r="H745" s="44"/>
    </row>
    <row r="746" spans="1:8" ht="13">
      <c r="A746" s="44"/>
      <c r="B746" s="179"/>
      <c r="C746" s="414"/>
      <c r="D746" s="414"/>
      <c r="E746" s="44"/>
      <c r="H746" s="44"/>
    </row>
    <row r="747" spans="1:8" ht="13">
      <c r="A747" s="44"/>
      <c r="B747" s="179"/>
      <c r="C747" s="414"/>
      <c r="D747" s="414"/>
      <c r="E747" s="44"/>
      <c r="H747" s="44"/>
    </row>
    <row r="748" spans="1:8" ht="13">
      <c r="A748" s="44"/>
      <c r="B748" s="179"/>
      <c r="C748" s="414"/>
      <c r="D748" s="414"/>
      <c r="E748" s="44"/>
      <c r="H748" s="44"/>
    </row>
    <row r="749" spans="1:8" ht="13">
      <c r="A749" s="44"/>
      <c r="B749" s="179"/>
      <c r="C749" s="414"/>
      <c r="D749" s="414"/>
      <c r="E749" s="44"/>
      <c r="H749" s="44"/>
    </row>
    <row r="750" spans="1:8" ht="13">
      <c r="A750" s="44"/>
      <c r="B750" s="179"/>
      <c r="C750" s="414"/>
      <c r="D750" s="414"/>
      <c r="E750" s="44"/>
      <c r="H750" s="44"/>
    </row>
    <row r="751" spans="1:8" ht="13">
      <c r="A751" s="44"/>
      <c r="B751" s="179"/>
      <c r="C751" s="414"/>
      <c r="D751" s="414"/>
      <c r="E751" s="44"/>
      <c r="H751" s="44"/>
    </row>
    <row r="752" spans="1:8" ht="13">
      <c r="A752" s="44"/>
      <c r="B752" s="179"/>
      <c r="C752" s="414"/>
      <c r="D752" s="414"/>
      <c r="E752" s="44"/>
      <c r="H752" s="44"/>
    </row>
    <row r="753" spans="1:8" ht="13">
      <c r="A753" s="44"/>
      <c r="B753" s="179"/>
      <c r="C753" s="414"/>
      <c r="D753" s="414"/>
      <c r="E753" s="44"/>
      <c r="H753" s="44"/>
    </row>
    <row r="754" spans="1:8" ht="13">
      <c r="A754" s="44"/>
      <c r="B754" s="179"/>
      <c r="C754" s="414"/>
      <c r="D754" s="414"/>
      <c r="E754" s="44"/>
      <c r="H754" s="44"/>
    </row>
    <row r="755" spans="1:8" ht="13">
      <c r="A755" s="44"/>
      <c r="B755" s="179"/>
      <c r="C755" s="414"/>
      <c r="D755" s="414"/>
      <c r="E755" s="44"/>
      <c r="H755" s="44"/>
    </row>
    <row r="756" spans="1:8" ht="13">
      <c r="A756" s="44"/>
      <c r="B756" s="179"/>
      <c r="C756" s="414"/>
      <c r="D756" s="414"/>
      <c r="E756" s="44"/>
      <c r="H756" s="44"/>
    </row>
    <row r="757" spans="1:8" ht="13">
      <c r="A757" s="44"/>
      <c r="B757" s="179"/>
      <c r="C757" s="414"/>
      <c r="D757" s="414"/>
      <c r="E757" s="44"/>
      <c r="H757" s="44"/>
    </row>
    <row r="758" spans="1:8" ht="13">
      <c r="A758" s="44"/>
      <c r="B758" s="179"/>
      <c r="C758" s="414"/>
      <c r="D758" s="414"/>
      <c r="E758" s="44"/>
      <c r="H758" s="44"/>
    </row>
    <row r="759" spans="1:8" ht="13">
      <c r="A759" s="44"/>
      <c r="B759" s="179"/>
      <c r="C759" s="414"/>
      <c r="D759" s="414"/>
      <c r="E759" s="44"/>
      <c r="H759" s="44"/>
    </row>
    <row r="760" spans="1:8" ht="13">
      <c r="A760" s="44"/>
      <c r="B760" s="179"/>
      <c r="C760" s="414"/>
      <c r="D760" s="414"/>
      <c r="E760" s="44"/>
      <c r="H760" s="44"/>
    </row>
    <row r="761" spans="1:8" ht="13">
      <c r="A761" s="44"/>
      <c r="B761" s="179"/>
      <c r="C761" s="414"/>
      <c r="D761" s="414"/>
      <c r="E761" s="44"/>
      <c r="H761" s="44"/>
    </row>
    <row r="762" spans="1:8" ht="13">
      <c r="A762" s="44"/>
      <c r="B762" s="179"/>
      <c r="C762" s="414"/>
      <c r="D762" s="414"/>
      <c r="E762" s="44"/>
      <c r="H762" s="44"/>
    </row>
    <row r="763" spans="1:8" ht="13">
      <c r="A763" s="44"/>
      <c r="B763" s="179"/>
      <c r="C763" s="414"/>
      <c r="D763" s="414"/>
      <c r="E763" s="44"/>
      <c r="H763" s="44"/>
    </row>
    <row r="764" spans="1:8" ht="13">
      <c r="A764" s="44"/>
      <c r="B764" s="179"/>
      <c r="C764" s="414"/>
      <c r="D764" s="414"/>
      <c r="E764" s="44"/>
      <c r="H764" s="44"/>
    </row>
    <row r="765" spans="1:8" ht="13">
      <c r="A765" s="44"/>
      <c r="B765" s="179"/>
      <c r="C765" s="414"/>
      <c r="D765" s="414"/>
      <c r="E765" s="44"/>
      <c r="H765" s="44"/>
    </row>
    <row r="766" spans="1:8" ht="13">
      <c r="A766" s="44"/>
      <c r="B766" s="179"/>
      <c r="C766" s="414"/>
      <c r="D766" s="414"/>
      <c r="E766" s="44"/>
      <c r="H766" s="44"/>
    </row>
    <row r="767" spans="1:8" ht="13">
      <c r="A767" s="44"/>
      <c r="B767" s="179"/>
      <c r="C767" s="414"/>
      <c r="D767" s="414"/>
      <c r="E767" s="44"/>
      <c r="H767" s="44"/>
    </row>
    <row r="768" spans="1:8" ht="13">
      <c r="A768" s="44"/>
      <c r="B768" s="179"/>
      <c r="C768" s="414"/>
      <c r="D768" s="414"/>
      <c r="E768" s="44"/>
      <c r="H768" s="44"/>
    </row>
    <row r="769" spans="1:8" ht="13">
      <c r="A769" s="44"/>
      <c r="B769" s="179"/>
      <c r="C769" s="414"/>
      <c r="D769" s="414"/>
      <c r="E769" s="44"/>
      <c r="H769" s="44"/>
    </row>
    <row r="770" spans="1:8" ht="13">
      <c r="A770" s="44"/>
      <c r="B770" s="179"/>
      <c r="C770" s="414"/>
      <c r="D770" s="414"/>
      <c r="E770" s="44"/>
      <c r="H770" s="44"/>
    </row>
    <row r="771" spans="1:8" ht="13">
      <c r="A771" s="44"/>
      <c r="B771" s="179"/>
      <c r="C771" s="414"/>
      <c r="D771" s="414"/>
      <c r="E771" s="44"/>
      <c r="H771" s="44"/>
    </row>
    <row r="772" spans="1:8" ht="13">
      <c r="A772" s="44"/>
      <c r="B772" s="179"/>
      <c r="C772" s="414"/>
      <c r="D772" s="414"/>
      <c r="E772" s="44"/>
      <c r="H772" s="44"/>
    </row>
    <row r="773" spans="1:8" ht="13">
      <c r="A773" s="44"/>
      <c r="B773" s="179"/>
      <c r="C773" s="414"/>
      <c r="D773" s="414"/>
      <c r="E773" s="44"/>
      <c r="H773" s="44"/>
    </row>
    <row r="774" spans="1:8" ht="13">
      <c r="A774" s="44"/>
      <c r="B774" s="179"/>
      <c r="C774" s="414"/>
      <c r="D774" s="414"/>
      <c r="E774" s="44"/>
      <c r="H774" s="44"/>
    </row>
    <row r="775" spans="1:8" ht="13">
      <c r="A775" s="44"/>
      <c r="B775" s="179"/>
      <c r="C775" s="414"/>
      <c r="D775" s="414"/>
      <c r="E775" s="44"/>
      <c r="H775" s="44"/>
    </row>
    <row r="776" spans="1:8" ht="13">
      <c r="A776" s="44"/>
      <c r="B776" s="179"/>
      <c r="C776" s="414"/>
      <c r="D776" s="414"/>
      <c r="E776" s="44"/>
      <c r="H776" s="44"/>
    </row>
    <row r="777" spans="1:8" ht="13">
      <c r="A777" s="44"/>
      <c r="B777" s="179"/>
      <c r="C777" s="414"/>
      <c r="D777" s="414"/>
      <c r="E777" s="44"/>
      <c r="H777" s="44"/>
    </row>
    <row r="778" spans="1:8" ht="13">
      <c r="A778" s="44"/>
      <c r="B778" s="179"/>
      <c r="C778" s="414"/>
      <c r="D778" s="414"/>
      <c r="E778" s="44"/>
      <c r="H778" s="44"/>
    </row>
    <row r="779" spans="1:8" ht="13">
      <c r="A779" s="44"/>
      <c r="B779" s="179"/>
      <c r="C779" s="414"/>
      <c r="D779" s="414"/>
      <c r="E779" s="44"/>
      <c r="H779" s="44"/>
    </row>
    <row r="780" spans="1:8" ht="13">
      <c r="A780" s="44"/>
      <c r="B780" s="179"/>
      <c r="C780" s="414"/>
      <c r="D780" s="414"/>
      <c r="E780" s="44"/>
      <c r="H780" s="44"/>
    </row>
    <row r="781" spans="1:8" ht="13">
      <c r="A781" s="44"/>
      <c r="B781" s="179"/>
      <c r="C781" s="414"/>
      <c r="D781" s="414"/>
      <c r="E781" s="44"/>
      <c r="H781" s="44"/>
    </row>
    <row r="782" spans="1:8" ht="13">
      <c r="A782" s="44"/>
      <c r="B782" s="179"/>
      <c r="C782" s="414"/>
      <c r="D782" s="414"/>
      <c r="E782" s="44"/>
      <c r="H782" s="44"/>
    </row>
    <row r="783" spans="1:8" ht="13">
      <c r="A783" s="44"/>
      <c r="B783" s="179"/>
      <c r="C783" s="414"/>
      <c r="D783" s="414"/>
      <c r="E783" s="44"/>
      <c r="H783" s="44"/>
    </row>
    <row r="784" spans="1:8" ht="13">
      <c r="A784" s="44"/>
      <c r="B784" s="179"/>
      <c r="C784" s="414"/>
      <c r="D784" s="414"/>
      <c r="E784" s="44"/>
      <c r="H784" s="44"/>
    </row>
    <row r="785" spans="1:8" ht="13">
      <c r="A785" s="44"/>
      <c r="B785" s="179"/>
      <c r="C785" s="414"/>
      <c r="D785" s="414"/>
      <c r="E785" s="44"/>
      <c r="H785" s="44"/>
    </row>
    <row r="786" spans="1:8" ht="13">
      <c r="A786" s="44"/>
      <c r="B786" s="179"/>
      <c r="C786" s="414"/>
      <c r="D786" s="414"/>
      <c r="E786" s="44"/>
      <c r="H786" s="44"/>
    </row>
    <row r="787" spans="1:8" ht="13">
      <c r="A787" s="44"/>
      <c r="B787" s="179"/>
      <c r="C787" s="414"/>
      <c r="D787" s="414"/>
      <c r="E787" s="44"/>
      <c r="H787" s="44"/>
    </row>
    <row r="788" spans="1:8" ht="13">
      <c r="A788" s="44"/>
      <c r="B788" s="179"/>
      <c r="C788" s="414"/>
      <c r="D788" s="414"/>
      <c r="E788" s="44"/>
      <c r="H788" s="44"/>
    </row>
    <row r="789" spans="1:8" ht="13">
      <c r="A789" s="44"/>
      <c r="B789" s="179"/>
      <c r="C789" s="414"/>
      <c r="D789" s="414"/>
      <c r="E789" s="44"/>
      <c r="H789" s="44"/>
    </row>
    <row r="790" spans="1:8" ht="13">
      <c r="A790" s="44"/>
      <c r="B790" s="179"/>
      <c r="C790" s="414"/>
      <c r="D790" s="414"/>
      <c r="E790" s="44"/>
      <c r="H790" s="44"/>
    </row>
    <row r="791" spans="1:8" ht="13">
      <c r="A791" s="44"/>
      <c r="B791" s="179"/>
      <c r="C791" s="414"/>
      <c r="D791" s="414"/>
      <c r="E791" s="44"/>
      <c r="H791" s="44"/>
    </row>
    <row r="792" spans="1:8" ht="13">
      <c r="A792" s="44"/>
      <c r="B792" s="179"/>
      <c r="C792" s="414"/>
      <c r="D792" s="414"/>
      <c r="E792" s="44"/>
      <c r="H792" s="44"/>
    </row>
    <row r="793" spans="1:8" ht="13">
      <c r="A793" s="44"/>
      <c r="B793" s="179"/>
      <c r="C793" s="414"/>
      <c r="D793" s="414"/>
      <c r="E793" s="44"/>
      <c r="H793" s="44"/>
    </row>
    <row r="794" spans="1:8" ht="13">
      <c r="A794" s="44"/>
      <c r="B794" s="179"/>
      <c r="C794" s="414"/>
      <c r="D794" s="414"/>
      <c r="E794" s="44"/>
      <c r="H794" s="44"/>
    </row>
    <row r="795" spans="1:8" ht="13">
      <c r="A795" s="44"/>
      <c r="B795" s="179"/>
      <c r="C795" s="414"/>
      <c r="D795" s="414"/>
      <c r="E795" s="44"/>
      <c r="H795" s="44"/>
    </row>
    <row r="796" spans="1:8" ht="13">
      <c r="A796" s="44"/>
      <c r="B796" s="179"/>
      <c r="C796" s="414"/>
      <c r="D796" s="414"/>
      <c r="E796" s="44"/>
      <c r="H796" s="44"/>
    </row>
    <row r="797" spans="1:8" ht="13">
      <c r="A797" s="44"/>
      <c r="B797" s="179"/>
      <c r="C797" s="414"/>
      <c r="D797" s="414"/>
      <c r="E797" s="44"/>
      <c r="H797" s="44"/>
    </row>
    <row r="798" spans="1:8" ht="13">
      <c r="A798" s="44"/>
      <c r="B798" s="179"/>
      <c r="C798" s="414"/>
      <c r="D798" s="414"/>
      <c r="E798" s="44"/>
      <c r="H798" s="44"/>
    </row>
    <row r="799" spans="1:8" ht="13">
      <c r="A799" s="44"/>
      <c r="B799" s="179"/>
      <c r="C799" s="414"/>
      <c r="D799" s="414"/>
      <c r="E799" s="44"/>
      <c r="H799" s="44"/>
    </row>
    <row r="800" spans="1:8" ht="13">
      <c r="A800" s="44"/>
      <c r="B800" s="179"/>
      <c r="C800" s="414"/>
      <c r="D800" s="414"/>
      <c r="E800" s="44"/>
      <c r="H800" s="44"/>
    </row>
    <row r="801" spans="1:8" ht="13">
      <c r="A801" s="44"/>
      <c r="B801" s="179"/>
      <c r="C801" s="414"/>
      <c r="D801" s="414"/>
      <c r="E801" s="44"/>
      <c r="H801" s="44"/>
    </row>
    <row r="802" spans="1:8" ht="13">
      <c r="A802" s="44"/>
      <c r="B802" s="179"/>
      <c r="C802" s="414"/>
      <c r="D802" s="414"/>
      <c r="E802" s="44"/>
      <c r="H802" s="44"/>
    </row>
    <row r="803" spans="1:8" ht="13">
      <c r="A803" s="44"/>
      <c r="B803" s="179"/>
      <c r="C803" s="414"/>
      <c r="D803" s="414"/>
      <c r="E803" s="44"/>
      <c r="H803" s="44"/>
    </row>
    <row r="804" spans="1:8" ht="13">
      <c r="A804" s="44"/>
      <c r="B804" s="179"/>
      <c r="C804" s="414"/>
      <c r="D804" s="414"/>
      <c r="E804" s="44"/>
      <c r="H804" s="44"/>
    </row>
    <row r="805" spans="1:8" ht="13">
      <c r="A805" s="44"/>
      <c r="B805" s="179"/>
      <c r="C805" s="414"/>
      <c r="D805" s="414"/>
      <c r="E805" s="44"/>
      <c r="H805" s="44"/>
    </row>
    <row r="806" spans="1:8" ht="13">
      <c r="A806" s="44"/>
      <c r="B806" s="179"/>
      <c r="C806" s="414"/>
      <c r="D806" s="414"/>
      <c r="E806" s="44"/>
      <c r="H806" s="44"/>
    </row>
    <row r="807" spans="1:8" ht="13">
      <c r="A807" s="44"/>
      <c r="B807" s="179"/>
      <c r="C807" s="414"/>
      <c r="D807" s="414"/>
      <c r="E807" s="44"/>
      <c r="H807" s="44"/>
    </row>
    <row r="808" spans="1:8" ht="13">
      <c r="A808" s="44"/>
      <c r="B808" s="179"/>
      <c r="C808" s="414"/>
      <c r="D808" s="414"/>
      <c r="E808" s="44"/>
      <c r="H808" s="44"/>
    </row>
    <row r="809" spans="1:8" ht="13">
      <c r="A809" s="44"/>
      <c r="B809" s="179"/>
      <c r="C809" s="414"/>
      <c r="D809" s="414"/>
      <c r="E809" s="44"/>
      <c r="H809" s="44"/>
    </row>
    <row r="810" spans="1:8" ht="13">
      <c r="A810" s="44"/>
      <c r="B810" s="179"/>
      <c r="C810" s="414"/>
      <c r="D810" s="414"/>
      <c r="E810" s="44"/>
      <c r="H810" s="44"/>
    </row>
    <row r="811" spans="1:8" ht="13">
      <c r="A811" s="44"/>
      <c r="B811" s="179"/>
      <c r="C811" s="414"/>
      <c r="D811" s="414"/>
      <c r="E811" s="44"/>
      <c r="H811" s="44"/>
    </row>
    <row r="812" spans="1:8" ht="13">
      <c r="A812" s="44"/>
      <c r="B812" s="179"/>
      <c r="C812" s="414"/>
      <c r="D812" s="414"/>
      <c r="E812" s="44"/>
      <c r="H812" s="44"/>
    </row>
    <row r="813" spans="1:8" ht="13">
      <c r="A813" s="44"/>
      <c r="B813" s="179"/>
      <c r="C813" s="414"/>
      <c r="D813" s="414"/>
      <c r="E813" s="44"/>
      <c r="H813" s="44"/>
    </row>
    <row r="814" spans="1:8" ht="13">
      <c r="A814" s="44"/>
      <c r="B814" s="179"/>
      <c r="C814" s="414"/>
      <c r="D814" s="414"/>
      <c r="E814" s="44"/>
      <c r="H814" s="44"/>
    </row>
    <row r="815" spans="1:8" ht="13">
      <c r="A815" s="44"/>
      <c r="B815" s="179"/>
      <c r="C815" s="414"/>
      <c r="D815" s="414"/>
      <c r="E815" s="44"/>
      <c r="H815" s="44"/>
    </row>
    <row r="816" spans="1:8" ht="13">
      <c r="A816" s="44"/>
      <c r="B816" s="179"/>
      <c r="C816" s="414"/>
      <c r="D816" s="414"/>
      <c r="E816" s="44"/>
      <c r="H816" s="44"/>
    </row>
    <row r="817" spans="1:8" ht="13">
      <c r="A817" s="44"/>
      <c r="B817" s="179"/>
      <c r="C817" s="414"/>
      <c r="D817" s="414"/>
      <c r="E817" s="44"/>
      <c r="H817" s="44"/>
    </row>
    <row r="818" spans="1:8" ht="13">
      <c r="A818" s="44"/>
      <c r="B818" s="179"/>
      <c r="C818" s="414"/>
      <c r="D818" s="414"/>
      <c r="E818" s="44"/>
      <c r="H818" s="44"/>
    </row>
    <row r="819" spans="1:8" ht="13">
      <c r="A819" s="44"/>
      <c r="B819" s="179"/>
      <c r="C819" s="414"/>
      <c r="D819" s="414"/>
      <c r="E819" s="44"/>
      <c r="H819" s="44"/>
    </row>
    <row r="820" spans="1:8" ht="13">
      <c r="A820" s="44"/>
      <c r="B820" s="179"/>
      <c r="C820" s="414"/>
      <c r="D820" s="414"/>
      <c r="E820" s="44"/>
      <c r="H820" s="44"/>
    </row>
    <row r="821" spans="1:8" ht="13">
      <c r="A821" s="44"/>
      <c r="B821" s="179"/>
      <c r="C821" s="414"/>
      <c r="D821" s="414"/>
      <c r="E821" s="44"/>
      <c r="H821" s="44"/>
    </row>
    <row r="822" spans="1:8" ht="13">
      <c r="A822" s="44"/>
      <c r="B822" s="179"/>
      <c r="C822" s="414"/>
      <c r="D822" s="414"/>
      <c r="E822" s="44"/>
      <c r="H822" s="44"/>
    </row>
    <row r="823" spans="1:8" ht="13">
      <c r="A823" s="44"/>
      <c r="B823" s="179"/>
      <c r="C823" s="414"/>
      <c r="D823" s="414"/>
      <c r="E823" s="44"/>
      <c r="H823" s="44"/>
    </row>
    <row r="824" spans="1:8" ht="13">
      <c r="A824" s="44"/>
      <c r="B824" s="179"/>
      <c r="C824" s="414"/>
      <c r="D824" s="414"/>
      <c r="E824" s="44"/>
      <c r="H824" s="44"/>
    </row>
    <row r="825" spans="1:8" ht="13">
      <c r="A825" s="44"/>
      <c r="B825" s="179"/>
      <c r="C825" s="414"/>
      <c r="D825" s="414"/>
      <c r="E825" s="44"/>
      <c r="H825" s="44"/>
    </row>
    <row r="826" spans="1:8" ht="13">
      <c r="A826" s="44"/>
      <c r="B826" s="179"/>
      <c r="C826" s="414"/>
      <c r="D826" s="414"/>
      <c r="E826" s="44"/>
      <c r="H826" s="44"/>
    </row>
    <row r="827" spans="1:8" ht="13">
      <c r="A827" s="44"/>
      <c r="B827" s="179"/>
      <c r="C827" s="414"/>
      <c r="D827" s="414"/>
      <c r="E827" s="44"/>
      <c r="H827" s="44"/>
    </row>
    <row r="828" spans="1:8" ht="13">
      <c r="A828" s="44"/>
      <c r="B828" s="179"/>
      <c r="C828" s="414"/>
      <c r="D828" s="414"/>
      <c r="E828" s="44"/>
      <c r="H828" s="44"/>
    </row>
    <row r="829" spans="1:8" ht="13">
      <c r="A829" s="44"/>
      <c r="B829" s="179"/>
      <c r="C829" s="414"/>
      <c r="D829" s="414"/>
      <c r="E829" s="44"/>
      <c r="H829" s="44"/>
    </row>
    <row r="830" spans="1:8" ht="13">
      <c r="A830" s="44"/>
      <c r="B830" s="179"/>
      <c r="C830" s="414"/>
      <c r="D830" s="414"/>
      <c r="E830" s="44"/>
      <c r="H830" s="44"/>
    </row>
    <row r="831" spans="1:8" ht="13">
      <c r="A831" s="44"/>
      <c r="B831" s="179"/>
      <c r="C831" s="414"/>
      <c r="D831" s="414"/>
      <c r="E831" s="44"/>
      <c r="H831" s="44"/>
    </row>
    <row r="832" spans="1:8" ht="13">
      <c r="A832" s="44"/>
      <c r="B832" s="179"/>
      <c r="C832" s="414"/>
      <c r="D832" s="414"/>
      <c r="E832" s="44"/>
      <c r="H832" s="44"/>
    </row>
    <row r="833" spans="1:8" ht="13">
      <c r="A833" s="44"/>
      <c r="B833" s="179"/>
      <c r="C833" s="414"/>
      <c r="D833" s="414"/>
      <c r="E833" s="44"/>
      <c r="H833" s="44"/>
    </row>
    <row r="834" spans="1:8" ht="13">
      <c r="A834" s="44"/>
      <c r="B834" s="179"/>
      <c r="C834" s="414"/>
      <c r="D834" s="414"/>
      <c r="E834" s="44"/>
      <c r="H834" s="44"/>
    </row>
    <row r="835" spans="1:8" ht="13">
      <c r="A835" s="44"/>
      <c r="B835" s="179"/>
      <c r="C835" s="414"/>
      <c r="D835" s="414"/>
      <c r="E835" s="44"/>
      <c r="H835" s="44"/>
    </row>
    <row r="836" spans="1:8" ht="13">
      <c r="A836" s="44"/>
      <c r="B836" s="179"/>
      <c r="C836" s="414"/>
      <c r="D836" s="414"/>
      <c r="E836" s="44"/>
      <c r="H836" s="44"/>
    </row>
    <row r="837" spans="1:8" ht="13">
      <c r="A837" s="44"/>
      <c r="B837" s="179"/>
      <c r="C837" s="414"/>
      <c r="D837" s="414"/>
      <c r="E837" s="44"/>
      <c r="H837" s="44"/>
    </row>
    <row r="838" spans="1:8" ht="13">
      <c r="A838" s="44"/>
      <c r="B838" s="179"/>
      <c r="C838" s="414"/>
      <c r="D838" s="414"/>
      <c r="E838" s="44"/>
      <c r="H838" s="44"/>
    </row>
    <row r="839" spans="1:8" ht="13">
      <c r="A839" s="44"/>
      <c r="B839" s="179"/>
      <c r="C839" s="414"/>
      <c r="D839" s="414"/>
      <c r="E839" s="44"/>
      <c r="H839" s="44"/>
    </row>
    <row r="840" spans="1:8" ht="13">
      <c r="A840" s="44"/>
      <c r="B840" s="179"/>
      <c r="C840" s="414"/>
      <c r="D840" s="414"/>
      <c r="E840" s="44"/>
      <c r="H840" s="44"/>
    </row>
    <row r="841" spans="1:8" ht="13">
      <c r="A841" s="44"/>
      <c r="B841" s="179"/>
      <c r="C841" s="414"/>
      <c r="D841" s="414"/>
      <c r="E841" s="44"/>
      <c r="H841" s="44"/>
    </row>
    <row r="842" spans="1:8" ht="13">
      <c r="A842" s="44"/>
      <c r="B842" s="179"/>
      <c r="C842" s="414"/>
      <c r="D842" s="414"/>
      <c r="E842" s="44"/>
      <c r="H842" s="44"/>
    </row>
    <row r="843" spans="1:8" ht="13">
      <c r="A843" s="44"/>
      <c r="B843" s="179"/>
      <c r="C843" s="414"/>
      <c r="D843" s="414"/>
      <c r="E843" s="44"/>
      <c r="H843" s="44"/>
    </row>
    <row r="844" spans="1:8" ht="13">
      <c r="A844" s="44"/>
      <c r="B844" s="179"/>
      <c r="C844" s="414"/>
      <c r="D844" s="414"/>
      <c r="E844" s="44"/>
      <c r="H844" s="44"/>
    </row>
    <row r="845" spans="1:8" ht="13">
      <c r="A845" s="44"/>
      <c r="B845" s="179"/>
      <c r="C845" s="414"/>
      <c r="D845" s="414"/>
      <c r="E845" s="44"/>
      <c r="H845" s="44"/>
    </row>
    <row r="846" spans="1:8" ht="13">
      <c r="A846" s="44"/>
      <c r="B846" s="179"/>
      <c r="C846" s="414"/>
      <c r="D846" s="414"/>
      <c r="E846" s="44"/>
      <c r="H846" s="44"/>
    </row>
    <row r="847" spans="1:8" ht="13">
      <c r="A847" s="44"/>
      <c r="B847" s="179"/>
      <c r="C847" s="414"/>
      <c r="D847" s="414"/>
      <c r="E847" s="44"/>
      <c r="H847" s="44"/>
    </row>
    <row r="848" spans="1:8" ht="13">
      <c r="A848" s="44"/>
      <c r="B848" s="179"/>
      <c r="C848" s="414"/>
      <c r="D848" s="414"/>
      <c r="E848" s="44"/>
      <c r="H848" s="44"/>
    </row>
    <row r="849" spans="1:8" ht="13">
      <c r="A849" s="44"/>
      <c r="B849" s="179"/>
      <c r="C849" s="414"/>
      <c r="D849" s="414"/>
      <c r="E849" s="44"/>
      <c r="H849" s="44"/>
    </row>
    <row r="850" spans="1:8" ht="13">
      <c r="A850" s="44"/>
      <c r="B850" s="179"/>
      <c r="C850" s="414"/>
      <c r="D850" s="414"/>
      <c r="E850" s="44"/>
      <c r="H850" s="44"/>
    </row>
    <row r="851" spans="1:8" ht="13">
      <c r="A851" s="44"/>
      <c r="B851" s="179"/>
      <c r="C851" s="414"/>
      <c r="D851" s="414"/>
      <c r="E851" s="44"/>
      <c r="H851" s="44"/>
    </row>
    <row r="852" spans="1:8" ht="13">
      <c r="A852" s="44"/>
      <c r="B852" s="179"/>
      <c r="C852" s="414"/>
      <c r="D852" s="414"/>
      <c r="E852" s="44"/>
      <c r="H852" s="44"/>
    </row>
    <row r="853" spans="1:8" ht="13">
      <c r="A853" s="44"/>
      <c r="B853" s="179"/>
      <c r="C853" s="414"/>
      <c r="D853" s="414"/>
      <c r="E853" s="44"/>
      <c r="H853" s="44"/>
    </row>
    <row r="854" spans="1:8" ht="13">
      <c r="A854" s="44"/>
      <c r="B854" s="179"/>
      <c r="C854" s="414"/>
      <c r="D854" s="414"/>
      <c r="E854" s="44"/>
      <c r="H854" s="44"/>
    </row>
    <row r="855" spans="1:8" ht="13">
      <c r="A855" s="44"/>
      <c r="B855" s="179"/>
      <c r="C855" s="414"/>
      <c r="D855" s="414"/>
      <c r="E855" s="44"/>
      <c r="H855" s="44"/>
    </row>
    <row r="856" spans="1:8" ht="13">
      <c r="A856" s="44"/>
      <c r="B856" s="179"/>
      <c r="C856" s="414"/>
      <c r="D856" s="414"/>
      <c r="E856" s="44"/>
      <c r="H856" s="44"/>
    </row>
    <row r="857" spans="1:8" ht="13">
      <c r="A857" s="44"/>
      <c r="B857" s="179"/>
      <c r="C857" s="414"/>
      <c r="D857" s="414"/>
      <c r="E857" s="44"/>
      <c r="H857" s="44"/>
    </row>
    <row r="858" spans="1:8" ht="13">
      <c r="A858" s="44"/>
      <c r="B858" s="179"/>
      <c r="C858" s="414"/>
      <c r="D858" s="414"/>
      <c r="E858" s="44"/>
      <c r="H858" s="44"/>
    </row>
    <row r="859" spans="1:8" ht="13">
      <c r="A859" s="44"/>
      <c r="B859" s="179"/>
      <c r="C859" s="414"/>
      <c r="D859" s="414"/>
      <c r="E859" s="44"/>
      <c r="H859" s="44"/>
    </row>
    <row r="860" spans="1:8" ht="13">
      <c r="A860" s="44"/>
      <c r="B860" s="179"/>
      <c r="C860" s="414"/>
      <c r="D860" s="414"/>
      <c r="E860" s="44"/>
      <c r="H860" s="44"/>
    </row>
    <row r="861" spans="1:8" ht="13">
      <c r="A861" s="44"/>
      <c r="B861" s="179"/>
      <c r="C861" s="414"/>
      <c r="D861" s="414"/>
      <c r="E861" s="44"/>
      <c r="H861" s="44"/>
    </row>
    <row r="862" spans="1:8" ht="13">
      <c r="A862" s="44"/>
      <c r="B862" s="179"/>
      <c r="C862" s="414"/>
      <c r="D862" s="414"/>
      <c r="E862" s="44"/>
      <c r="H862" s="44"/>
    </row>
    <row r="863" spans="1:8" ht="13">
      <c r="A863" s="44"/>
      <c r="B863" s="179"/>
      <c r="C863" s="414"/>
      <c r="D863" s="414"/>
      <c r="E863" s="44"/>
      <c r="H863" s="44"/>
    </row>
    <row r="864" spans="1:8" ht="13">
      <c r="A864" s="44"/>
      <c r="B864" s="179"/>
      <c r="C864" s="414"/>
      <c r="D864" s="414"/>
      <c r="E864" s="44"/>
      <c r="H864" s="44"/>
    </row>
    <row r="865" spans="1:8" ht="13">
      <c r="A865" s="44"/>
      <c r="B865" s="179"/>
      <c r="C865" s="414"/>
      <c r="D865" s="414"/>
      <c r="E865" s="44"/>
      <c r="H865" s="44"/>
    </row>
    <row r="866" spans="1:8" ht="13">
      <c r="A866" s="44"/>
      <c r="B866" s="179"/>
      <c r="C866" s="414"/>
      <c r="D866" s="414"/>
      <c r="E866" s="44"/>
      <c r="H866" s="44"/>
    </row>
    <row r="867" spans="1:8" ht="13">
      <c r="A867" s="44"/>
      <c r="B867" s="179"/>
      <c r="C867" s="414"/>
      <c r="D867" s="414"/>
      <c r="E867" s="44"/>
      <c r="H867" s="44"/>
    </row>
    <row r="868" spans="1:8" ht="13">
      <c r="A868" s="44"/>
      <c r="B868" s="179"/>
      <c r="C868" s="414"/>
      <c r="D868" s="414"/>
      <c r="E868" s="44"/>
      <c r="H868" s="44"/>
    </row>
    <row r="869" spans="1:8" ht="13">
      <c r="A869" s="44"/>
      <c r="B869" s="179"/>
      <c r="C869" s="414"/>
      <c r="D869" s="414"/>
      <c r="E869" s="44"/>
      <c r="H869" s="44"/>
    </row>
    <row r="870" spans="1:8" ht="13">
      <c r="A870" s="44"/>
      <c r="B870" s="179"/>
      <c r="C870" s="414"/>
      <c r="D870" s="414"/>
      <c r="E870" s="44"/>
      <c r="H870" s="44"/>
    </row>
    <row r="871" spans="1:8" ht="13">
      <c r="A871" s="44"/>
      <c r="B871" s="179"/>
      <c r="C871" s="414"/>
      <c r="D871" s="414"/>
      <c r="E871" s="44"/>
      <c r="H871" s="44"/>
    </row>
    <row r="872" spans="1:8" ht="13">
      <c r="A872" s="44"/>
      <c r="B872" s="179"/>
      <c r="C872" s="414"/>
      <c r="D872" s="414"/>
      <c r="E872" s="44"/>
      <c r="H872" s="44"/>
    </row>
    <row r="873" spans="1:8" ht="13">
      <c r="A873" s="44"/>
      <c r="B873" s="179"/>
      <c r="C873" s="414"/>
      <c r="D873" s="414"/>
      <c r="E873" s="44"/>
      <c r="H873" s="44"/>
    </row>
    <row r="874" spans="1:8" ht="13">
      <c r="A874" s="44"/>
      <c r="B874" s="179"/>
      <c r="C874" s="414"/>
      <c r="D874" s="414"/>
      <c r="E874" s="44"/>
      <c r="H874" s="44"/>
    </row>
    <row r="875" spans="1:8" ht="13">
      <c r="A875" s="44"/>
      <c r="B875" s="179"/>
      <c r="C875" s="414"/>
      <c r="D875" s="414"/>
      <c r="E875" s="44"/>
      <c r="H875" s="44"/>
    </row>
    <row r="876" spans="1:8" ht="13">
      <c r="A876" s="44"/>
      <c r="B876" s="179"/>
      <c r="C876" s="414"/>
      <c r="D876" s="414"/>
      <c r="E876" s="44"/>
      <c r="H876" s="44"/>
    </row>
    <row r="877" spans="1:8" ht="13">
      <c r="A877" s="44"/>
      <c r="B877" s="179"/>
      <c r="C877" s="414"/>
      <c r="D877" s="414"/>
      <c r="E877" s="44"/>
      <c r="H877" s="44"/>
    </row>
    <row r="878" spans="1:8" ht="13">
      <c r="A878" s="44"/>
      <c r="B878" s="179"/>
      <c r="C878" s="414"/>
      <c r="D878" s="414"/>
      <c r="E878" s="44"/>
      <c r="H878" s="44"/>
    </row>
    <row r="879" spans="1:8" ht="13">
      <c r="A879" s="44"/>
      <c r="B879" s="179"/>
      <c r="C879" s="414"/>
      <c r="D879" s="414"/>
      <c r="E879" s="44"/>
      <c r="H879" s="44"/>
    </row>
    <row r="880" spans="1:8" ht="13">
      <c r="A880" s="44"/>
      <c r="B880" s="179"/>
      <c r="C880" s="414"/>
      <c r="D880" s="414"/>
      <c r="E880" s="44"/>
      <c r="H880" s="44"/>
    </row>
    <row r="881" spans="1:8" ht="13">
      <c r="A881" s="44"/>
      <c r="B881" s="179"/>
      <c r="C881" s="414"/>
      <c r="D881" s="414"/>
      <c r="E881" s="44"/>
      <c r="H881" s="44"/>
    </row>
    <row r="882" spans="1:8" ht="13">
      <c r="A882" s="44"/>
      <c r="B882" s="179"/>
      <c r="C882" s="414"/>
      <c r="D882" s="414"/>
      <c r="E882" s="44"/>
      <c r="H882" s="44"/>
    </row>
    <row r="883" spans="1:8" ht="13">
      <c r="A883" s="44"/>
      <c r="B883" s="179"/>
      <c r="C883" s="414"/>
      <c r="D883" s="414"/>
      <c r="E883" s="44"/>
      <c r="H883" s="44"/>
    </row>
    <row r="884" spans="1:8" ht="13">
      <c r="A884" s="44"/>
      <c r="B884" s="179"/>
      <c r="C884" s="414"/>
      <c r="D884" s="414"/>
      <c r="E884" s="44"/>
      <c r="H884" s="44"/>
    </row>
    <row r="885" spans="1:8" ht="13">
      <c r="A885" s="44"/>
      <c r="B885" s="179"/>
      <c r="C885" s="414"/>
      <c r="D885" s="414"/>
      <c r="E885" s="44"/>
      <c r="H885" s="44"/>
    </row>
    <row r="886" spans="1:8" ht="13">
      <c r="A886" s="44"/>
      <c r="B886" s="179"/>
      <c r="C886" s="414"/>
      <c r="D886" s="414"/>
      <c r="E886" s="44"/>
      <c r="H886" s="44"/>
    </row>
    <row r="887" spans="1:8" ht="13">
      <c r="A887" s="44"/>
      <c r="B887" s="179"/>
      <c r="C887" s="414"/>
      <c r="D887" s="414"/>
      <c r="E887" s="44"/>
      <c r="H887" s="44"/>
    </row>
    <row r="888" spans="1:8" ht="13">
      <c r="A888" s="44"/>
      <c r="B888" s="179"/>
      <c r="C888" s="414"/>
      <c r="D888" s="414"/>
      <c r="E888" s="44"/>
      <c r="H888" s="44"/>
    </row>
    <row r="889" spans="1:8" ht="13">
      <c r="A889" s="44"/>
      <c r="B889" s="179"/>
      <c r="C889" s="414"/>
      <c r="D889" s="414"/>
      <c r="E889" s="44"/>
      <c r="H889" s="44"/>
    </row>
    <row r="890" spans="1:8" ht="13">
      <c r="A890" s="44"/>
      <c r="B890" s="179"/>
      <c r="C890" s="414"/>
      <c r="D890" s="414"/>
      <c r="E890" s="44"/>
      <c r="H890" s="44"/>
    </row>
    <row r="891" spans="1:8" ht="13">
      <c r="A891" s="44"/>
      <c r="B891" s="179"/>
      <c r="C891" s="414"/>
      <c r="D891" s="414"/>
      <c r="E891" s="44"/>
      <c r="H891" s="44"/>
    </row>
    <row r="892" spans="1:8" ht="13">
      <c r="A892" s="44"/>
      <c r="B892" s="179"/>
      <c r="C892" s="414"/>
      <c r="D892" s="414"/>
      <c r="E892" s="44"/>
      <c r="H892" s="44"/>
    </row>
    <row r="893" spans="1:8" ht="13">
      <c r="A893" s="44"/>
      <c r="B893" s="179"/>
      <c r="C893" s="414"/>
      <c r="D893" s="414"/>
      <c r="E893" s="44"/>
      <c r="H893" s="44"/>
    </row>
    <row r="894" spans="1:8" ht="13">
      <c r="A894" s="44"/>
      <c r="B894" s="179"/>
      <c r="C894" s="414"/>
      <c r="D894" s="414"/>
      <c r="E894" s="44"/>
      <c r="H894" s="44"/>
    </row>
    <row r="895" spans="1:8" ht="13">
      <c r="A895" s="44"/>
      <c r="B895" s="179"/>
      <c r="C895" s="414"/>
      <c r="D895" s="414"/>
      <c r="E895" s="44"/>
      <c r="H895" s="44"/>
    </row>
    <row r="896" spans="1:8" ht="13">
      <c r="A896" s="44"/>
      <c r="B896" s="179"/>
      <c r="C896" s="414"/>
      <c r="D896" s="414"/>
      <c r="E896" s="44"/>
      <c r="H896" s="44"/>
    </row>
    <row r="897" spans="1:8" ht="13">
      <c r="A897" s="44"/>
      <c r="B897" s="179"/>
      <c r="C897" s="414"/>
      <c r="D897" s="414"/>
      <c r="E897" s="44"/>
      <c r="H897" s="44"/>
    </row>
    <row r="898" spans="1:8" ht="13">
      <c r="A898" s="44"/>
      <c r="B898" s="179"/>
      <c r="C898" s="414"/>
      <c r="D898" s="414"/>
      <c r="E898" s="44"/>
      <c r="H898" s="44"/>
    </row>
    <row r="899" spans="1:8" ht="13">
      <c r="A899" s="44"/>
      <c r="B899" s="179"/>
      <c r="C899" s="414"/>
      <c r="D899" s="414"/>
      <c r="E899" s="44"/>
      <c r="H899" s="44"/>
    </row>
    <row r="900" spans="1:8" ht="13">
      <c r="A900" s="44"/>
      <c r="B900" s="179"/>
      <c r="C900" s="414"/>
      <c r="D900" s="414"/>
      <c r="E900" s="44"/>
      <c r="H900" s="44"/>
    </row>
    <row r="901" spans="1:8" ht="13">
      <c r="A901" s="44"/>
      <c r="B901" s="179"/>
      <c r="C901" s="414"/>
      <c r="D901" s="414"/>
      <c r="E901" s="44"/>
      <c r="H901" s="44"/>
    </row>
    <row r="902" spans="1:8" ht="13">
      <c r="A902" s="44"/>
      <c r="B902" s="179"/>
      <c r="C902" s="414"/>
      <c r="D902" s="414"/>
      <c r="E902" s="44"/>
      <c r="H902" s="44"/>
    </row>
    <row r="903" spans="1:8" ht="13">
      <c r="A903" s="44"/>
      <c r="B903" s="179"/>
      <c r="C903" s="414"/>
      <c r="D903" s="414"/>
      <c r="E903" s="44"/>
      <c r="H903" s="44"/>
    </row>
    <row r="904" spans="1:8" ht="13">
      <c r="A904" s="44"/>
      <c r="B904" s="179"/>
      <c r="C904" s="414"/>
      <c r="D904" s="414"/>
      <c r="E904" s="44"/>
      <c r="H904" s="44"/>
    </row>
    <row r="905" spans="1:8" ht="13">
      <c r="A905" s="44"/>
      <c r="B905" s="179"/>
      <c r="C905" s="414"/>
      <c r="D905" s="414"/>
      <c r="E905" s="44"/>
      <c r="H905" s="44"/>
    </row>
    <row r="906" spans="1:8" ht="13">
      <c r="A906" s="44"/>
      <c r="B906" s="179"/>
      <c r="C906" s="414"/>
      <c r="D906" s="414"/>
      <c r="E906" s="44"/>
      <c r="H906" s="44"/>
    </row>
    <row r="907" spans="1:8" ht="13">
      <c r="A907" s="44"/>
      <c r="B907" s="179"/>
      <c r="C907" s="414"/>
      <c r="D907" s="414"/>
      <c r="E907" s="44"/>
      <c r="H907" s="44"/>
    </row>
    <row r="908" spans="1:8" ht="13">
      <c r="A908" s="44"/>
      <c r="B908" s="179"/>
      <c r="C908" s="414"/>
      <c r="D908" s="414"/>
      <c r="E908" s="44"/>
      <c r="H908" s="44"/>
    </row>
    <row r="909" spans="1:8" ht="13">
      <c r="A909" s="44"/>
      <c r="B909" s="179"/>
      <c r="C909" s="414"/>
      <c r="D909" s="414"/>
      <c r="E909" s="44"/>
      <c r="H909" s="44"/>
    </row>
    <row r="910" spans="1:8" ht="13">
      <c r="A910" s="44"/>
      <c r="B910" s="179"/>
      <c r="C910" s="414"/>
      <c r="D910" s="414"/>
      <c r="E910" s="44"/>
      <c r="H910" s="44"/>
    </row>
    <row r="911" spans="1:8" ht="13">
      <c r="A911" s="44"/>
      <c r="B911" s="179"/>
      <c r="C911" s="414"/>
      <c r="D911" s="414"/>
      <c r="E911" s="44"/>
      <c r="H911" s="44"/>
    </row>
    <row r="912" spans="1:8" ht="13">
      <c r="A912" s="44"/>
      <c r="B912" s="179"/>
      <c r="C912" s="414"/>
      <c r="D912" s="414"/>
      <c r="E912" s="44"/>
      <c r="H912" s="44"/>
    </row>
    <row r="913" spans="1:8" ht="13">
      <c r="A913" s="44"/>
      <c r="B913" s="179"/>
      <c r="C913" s="414"/>
      <c r="D913" s="414"/>
      <c r="E913" s="44"/>
      <c r="H913" s="44"/>
    </row>
    <row r="914" spans="1:8" ht="13">
      <c r="A914" s="44"/>
      <c r="B914" s="179"/>
      <c r="C914" s="414"/>
      <c r="D914" s="414"/>
      <c r="E914" s="44"/>
      <c r="H914" s="44"/>
    </row>
    <row r="915" spans="1:8" ht="13">
      <c r="A915" s="44"/>
      <c r="B915" s="179"/>
      <c r="C915" s="414"/>
      <c r="D915" s="414"/>
      <c r="E915" s="44"/>
      <c r="H915" s="44"/>
    </row>
    <row r="916" spans="1:8" ht="13">
      <c r="A916" s="44"/>
      <c r="B916" s="179"/>
      <c r="C916" s="414"/>
      <c r="D916" s="414"/>
      <c r="E916" s="44"/>
      <c r="H916" s="44"/>
    </row>
    <row r="917" spans="1:8" ht="13">
      <c r="A917" s="44"/>
      <c r="B917" s="179"/>
      <c r="C917" s="414"/>
      <c r="D917" s="414"/>
      <c r="E917" s="44"/>
      <c r="H917" s="44"/>
    </row>
    <row r="918" spans="1:8" ht="13">
      <c r="A918" s="44"/>
      <c r="B918" s="179"/>
      <c r="C918" s="414"/>
      <c r="D918" s="414"/>
      <c r="E918" s="44"/>
      <c r="H918" s="44"/>
    </row>
    <row r="919" spans="1:8" ht="13">
      <c r="A919" s="44"/>
      <c r="B919" s="179"/>
      <c r="C919" s="414"/>
      <c r="D919" s="414"/>
      <c r="E919" s="44"/>
      <c r="H919" s="44"/>
    </row>
    <row r="920" spans="1:8" ht="13">
      <c r="A920" s="44"/>
      <c r="B920" s="179"/>
      <c r="C920" s="414"/>
      <c r="D920" s="414"/>
      <c r="E920" s="44"/>
      <c r="H920" s="44"/>
    </row>
    <row r="921" spans="1:8" ht="13">
      <c r="A921" s="44"/>
      <c r="B921" s="179"/>
      <c r="C921" s="414"/>
      <c r="D921" s="414"/>
      <c r="E921" s="44"/>
      <c r="H921" s="44"/>
    </row>
    <row r="922" spans="1:8" ht="13">
      <c r="A922" s="44"/>
      <c r="B922" s="179"/>
      <c r="C922" s="414"/>
      <c r="D922" s="414"/>
      <c r="E922" s="44"/>
      <c r="H922" s="44"/>
    </row>
    <row r="923" spans="1:8" ht="13">
      <c r="A923" s="44"/>
      <c r="B923" s="179"/>
      <c r="C923" s="414"/>
      <c r="D923" s="414"/>
      <c r="E923" s="44"/>
      <c r="H923" s="44"/>
    </row>
    <row r="924" spans="1:8" ht="13">
      <c r="A924" s="44"/>
      <c r="B924" s="179"/>
      <c r="C924" s="414"/>
      <c r="D924" s="414"/>
      <c r="E924" s="44"/>
      <c r="H924" s="44"/>
    </row>
    <row r="925" spans="1:8" ht="13">
      <c r="A925" s="44"/>
      <c r="B925" s="179"/>
      <c r="C925" s="414"/>
      <c r="D925" s="414"/>
      <c r="E925" s="44"/>
      <c r="H925" s="44"/>
    </row>
    <row r="926" spans="1:8" ht="13">
      <c r="A926" s="44"/>
      <c r="B926" s="179"/>
      <c r="C926" s="414"/>
      <c r="D926" s="414"/>
      <c r="E926" s="44"/>
      <c r="H926" s="44"/>
    </row>
    <row r="927" spans="1:8" ht="13">
      <c r="A927" s="44"/>
      <c r="B927" s="179"/>
      <c r="C927" s="414"/>
      <c r="D927" s="414"/>
      <c r="E927" s="44"/>
      <c r="H927" s="44"/>
    </row>
    <row r="928" spans="1:8" ht="13">
      <c r="A928" s="44"/>
      <c r="B928" s="179"/>
      <c r="C928" s="414"/>
      <c r="D928" s="414"/>
      <c r="E928" s="44"/>
      <c r="H928" s="44"/>
    </row>
    <row r="929" spans="1:8" ht="13">
      <c r="A929" s="44"/>
      <c r="B929" s="179"/>
      <c r="C929" s="414"/>
      <c r="D929" s="414"/>
      <c r="E929" s="44"/>
      <c r="H929" s="44"/>
    </row>
    <row r="930" spans="1:8" ht="13">
      <c r="A930" s="44"/>
      <c r="B930" s="179"/>
      <c r="C930" s="414"/>
      <c r="D930" s="414"/>
      <c r="E930" s="44"/>
      <c r="H930" s="44"/>
    </row>
    <row r="931" spans="1:8" ht="13">
      <c r="A931" s="44"/>
      <c r="B931" s="179"/>
      <c r="C931" s="414"/>
      <c r="D931" s="414"/>
      <c r="E931" s="44"/>
      <c r="H931" s="44"/>
    </row>
    <row r="932" spans="1:8" ht="13">
      <c r="A932" s="44"/>
      <c r="B932" s="179"/>
      <c r="C932" s="414"/>
      <c r="D932" s="414"/>
      <c r="E932" s="44"/>
      <c r="H932" s="44"/>
    </row>
    <row r="933" spans="1:8" ht="13">
      <c r="A933" s="44"/>
      <c r="B933" s="179"/>
      <c r="C933" s="414"/>
      <c r="D933" s="414"/>
      <c r="E933" s="44"/>
      <c r="H933" s="44"/>
    </row>
    <row r="934" spans="1:8" ht="13">
      <c r="A934" s="44"/>
      <c r="B934" s="179"/>
      <c r="C934" s="414"/>
      <c r="D934" s="414"/>
      <c r="E934" s="44"/>
      <c r="H934" s="44"/>
    </row>
    <row r="935" spans="1:8" ht="13">
      <c r="A935" s="44"/>
      <c r="B935" s="179"/>
      <c r="C935" s="414"/>
      <c r="D935" s="414"/>
      <c r="E935" s="44"/>
      <c r="H935" s="44"/>
    </row>
    <row r="936" spans="1:8" ht="13">
      <c r="A936" s="44"/>
      <c r="B936" s="179"/>
      <c r="C936" s="414"/>
      <c r="D936" s="414"/>
      <c r="E936" s="44"/>
      <c r="H936" s="44"/>
    </row>
    <row r="937" spans="1:8" ht="13">
      <c r="A937" s="44"/>
      <c r="B937" s="179"/>
      <c r="C937" s="414"/>
      <c r="D937" s="414"/>
      <c r="E937" s="44"/>
      <c r="H937" s="44"/>
    </row>
    <row r="938" spans="1:8" ht="13">
      <c r="A938" s="44"/>
      <c r="B938" s="179"/>
      <c r="C938" s="414"/>
      <c r="D938" s="414"/>
      <c r="E938" s="44"/>
      <c r="H938" s="44"/>
    </row>
    <row r="939" spans="1:8" ht="13">
      <c r="A939" s="44"/>
      <c r="B939" s="179"/>
      <c r="C939" s="414"/>
      <c r="D939" s="414"/>
      <c r="E939" s="44"/>
      <c r="H939" s="44"/>
    </row>
    <row r="940" spans="1:8" ht="13">
      <c r="A940" s="44"/>
      <c r="B940" s="179"/>
      <c r="C940" s="414"/>
      <c r="D940" s="414"/>
      <c r="E940" s="44"/>
      <c r="H940" s="44"/>
    </row>
    <row r="941" spans="1:8" ht="13">
      <c r="A941" s="44"/>
      <c r="B941" s="179"/>
      <c r="C941" s="414"/>
      <c r="D941" s="414"/>
      <c r="E941" s="44"/>
      <c r="H941" s="44"/>
    </row>
    <row r="942" spans="1:8" ht="13">
      <c r="A942" s="44"/>
      <c r="B942" s="179"/>
      <c r="C942" s="414"/>
      <c r="D942" s="414"/>
      <c r="E942" s="44"/>
      <c r="H942" s="44"/>
    </row>
    <row r="943" spans="1:8" ht="13">
      <c r="A943" s="44"/>
      <c r="B943" s="179"/>
      <c r="C943" s="414"/>
      <c r="D943" s="414"/>
      <c r="E943" s="44"/>
      <c r="H943" s="44"/>
    </row>
    <row r="944" spans="1:8" ht="13">
      <c r="A944" s="44"/>
      <c r="B944" s="179"/>
      <c r="C944" s="414"/>
      <c r="D944" s="414"/>
      <c r="E944" s="44"/>
      <c r="H944" s="44"/>
    </row>
    <row r="945" spans="1:8" ht="13">
      <c r="A945" s="44"/>
      <c r="B945" s="179"/>
      <c r="C945" s="414"/>
      <c r="D945" s="414"/>
      <c r="E945" s="44"/>
      <c r="H945" s="44"/>
    </row>
    <row r="946" spans="1:8" ht="13">
      <c r="A946" s="44"/>
      <c r="B946" s="179"/>
      <c r="C946" s="414"/>
      <c r="D946" s="414"/>
      <c r="E946" s="44"/>
      <c r="H946" s="44"/>
    </row>
    <row r="947" spans="1:8" ht="13">
      <c r="A947" s="44"/>
      <c r="B947" s="179"/>
      <c r="C947" s="414"/>
      <c r="D947" s="414"/>
      <c r="E947" s="44"/>
      <c r="H947" s="44"/>
    </row>
    <row r="948" spans="1:8" ht="13">
      <c r="A948" s="44"/>
      <c r="B948" s="179"/>
      <c r="C948" s="414"/>
      <c r="D948" s="414"/>
      <c r="E948" s="44"/>
      <c r="H948" s="44"/>
    </row>
    <row r="949" spans="1:8" ht="13">
      <c r="A949" s="44"/>
      <c r="B949" s="179"/>
      <c r="C949" s="414"/>
      <c r="D949" s="414"/>
      <c r="E949" s="44"/>
      <c r="H949" s="44"/>
    </row>
    <row r="950" spans="1:8" ht="13">
      <c r="A950" s="44"/>
      <c r="B950" s="179"/>
      <c r="C950" s="414"/>
      <c r="D950" s="414"/>
      <c r="E950" s="44"/>
      <c r="H950" s="44"/>
    </row>
    <row r="951" spans="1:8" ht="13">
      <c r="A951" s="44"/>
      <c r="B951" s="179"/>
      <c r="C951" s="414"/>
      <c r="D951" s="414"/>
      <c r="E951" s="44"/>
      <c r="H951" s="44"/>
    </row>
    <row r="952" spans="1:8" ht="13">
      <c r="A952" s="44"/>
      <c r="B952" s="179"/>
      <c r="C952" s="414"/>
      <c r="D952" s="414"/>
      <c r="E952" s="44"/>
      <c r="H952" s="44"/>
    </row>
    <row r="953" spans="1:8" ht="13">
      <c r="A953" s="44"/>
      <c r="B953" s="179"/>
      <c r="C953" s="414"/>
      <c r="D953" s="414"/>
      <c r="E953" s="44"/>
      <c r="H953" s="44"/>
    </row>
    <row r="954" spans="1:8" ht="13">
      <c r="A954" s="44"/>
      <c r="B954" s="179"/>
      <c r="C954" s="414"/>
      <c r="D954" s="414"/>
      <c r="E954" s="44"/>
      <c r="H954" s="44"/>
    </row>
    <row r="955" spans="1:8" ht="13">
      <c r="A955" s="44"/>
      <c r="B955" s="179"/>
      <c r="C955" s="414"/>
      <c r="D955" s="414"/>
      <c r="E955" s="44"/>
      <c r="H955" s="44"/>
    </row>
    <row r="956" spans="1:8" ht="13">
      <c r="A956" s="44"/>
      <c r="B956" s="179"/>
      <c r="C956" s="414"/>
      <c r="D956" s="414"/>
      <c r="E956" s="44"/>
      <c r="H956" s="44"/>
    </row>
    <row r="957" spans="1:8" ht="13">
      <c r="A957" s="44"/>
      <c r="B957" s="179"/>
      <c r="C957" s="414"/>
      <c r="D957" s="414"/>
      <c r="E957" s="44"/>
      <c r="H957" s="44"/>
    </row>
    <row r="958" spans="1:8" ht="13">
      <c r="A958" s="44"/>
      <c r="B958" s="179"/>
      <c r="C958" s="414"/>
      <c r="D958" s="414"/>
      <c r="E958" s="44"/>
      <c r="H958" s="44"/>
    </row>
    <row r="959" spans="1:8" ht="13">
      <c r="A959" s="44"/>
      <c r="B959" s="179"/>
      <c r="C959" s="414"/>
      <c r="D959" s="414"/>
      <c r="E959" s="44"/>
      <c r="H959" s="44"/>
    </row>
    <row r="960" spans="1:8" ht="13">
      <c r="A960" s="44"/>
      <c r="B960" s="179"/>
      <c r="C960" s="414"/>
      <c r="D960" s="414"/>
      <c r="E960" s="44"/>
      <c r="H960" s="44"/>
    </row>
    <row r="961" spans="1:8" ht="13">
      <c r="A961" s="44"/>
      <c r="B961" s="179"/>
      <c r="C961" s="414"/>
      <c r="D961" s="414"/>
      <c r="E961" s="44"/>
      <c r="H961" s="44"/>
    </row>
    <row r="962" spans="1:8" ht="13">
      <c r="A962" s="44"/>
      <c r="B962" s="179"/>
      <c r="C962" s="414"/>
      <c r="D962" s="414"/>
      <c r="E962" s="44"/>
      <c r="H962" s="44"/>
    </row>
    <row r="963" spans="1:8" ht="13">
      <c r="A963" s="44"/>
      <c r="B963" s="179"/>
      <c r="C963" s="414"/>
      <c r="D963" s="414"/>
      <c r="E963" s="44"/>
      <c r="H963" s="44"/>
    </row>
    <row r="964" spans="1:8" ht="13">
      <c r="A964" s="44"/>
      <c r="B964" s="179"/>
      <c r="C964" s="414"/>
      <c r="D964" s="414"/>
      <c r="E964" s="44"/>
      <c r="H964" s="44"/>
    </row>
    <row r="965" spans="1:8" ht="13">
      <c r="A965" s="44"/>
      <c r="B965" s="179"/>
      <c r="C965" s="414"/>
      <c r="D965" s="414"/>
      <c r="E965" s="44"/>
      <c r="H965" s="44"/>
    </row>
    <row r="966" spans="1:8" ht="13">
      <c r="A966" s="44"/>
      <c r="B966" s="179"/>
      <c r="C966" s="414"/>
      <c r="D966" s="414"/>
      <c r="E966" s="44"/>
      <c r="H966" s="44"/>
    </row>
    <row r="967" spans="1:8" ht="13">
      <c r="A967" s="44"/>
      <c r="B967" s="179"/>
      <c r="C967" s="414"/>
      <c r="D967" s="414"/>
      <c r="E967" s="44"/>
      <c r="H967" s="44"/>
    </row>
    <row r="968" spans="1:8" ht="13">
      <c r="A968" s="44"/>
      <c r="B968" s="179"/>
      <c r="C968" s="414"/>
      <c r="D968" s="414"/>
      <c r="E968" s="44"/>
      <c r="H968" s="44"/>
    </row>
    <row r="969" spans="1:8" ht="13">
      <c r="A969" s="44"/>
      <c r="B969" s="179"/>
      <c r="C969" s="414"/>
      <c r="D969" s="414"/>
      <c r="E969" s="44"/>
      <c r="H969" s="44"/>
    </row>
    <row r="970" spans="1:8" ht="13">
      <c r="A970" s="44"/>
      <c r="B970" s="179"/>
      <c r="C970" s="414"/>
      <c r="D970" s="414"/>
      <c r="E970" s="44"/>
      <c r="H970" s="44"/>
    </row>
    <row r="971" spans="1:8" ht="13">
      <c r="A971" s="44"/>
      <c r="B971" s="179"/>
      <c r="C971" s="414"/>
      <c r="D971" s="414"/>
      <c r="E971" s="44"/>
      <c r="H971" s="44"/>
    </row>
    <row r="972" spans="1:8" ht="13">
      <c r="A972" s="44"/>
      <c r="B972" s="179"/>
      <c r="C972" s="414"/>
      <c r="D972" s="414"/>
      <c r="E972" s="44"/>
      <c r="H972" s="44"/>
    </row>
    <row r="973" spans="1:8" ht="13">
      <c r="A973" s="44"/>
      <c r="B973" s="179"/>
      <c r="C973" s="414"/>
      <c r="D973" s="414"/>
      <c r="E973" s="44"/>
      <c r="H973" s="44"/>
    </row>
    <row r="974" spans="1:8" ht="13">
      <c r="A974" s="44"/>
      <c r="B974" s="179"/>
      <c r="C974" s="414"/>
      <c r="D974" s="414"/>
      <c r="E974" s="44"/>
      <c r="H974" s="44"/>
    </row>
    <row r="975" spans="1:8" ht="13">
      <c r="A975" s="44"/>
      <c r="B975" s="179"/>
      <c r="C975" s="414"/>
      <c r="D975" s="414"/>
      <c r="E975" s="44"/>
      <c r="H975" s="44"/>
    </row>
    <row r="976" spans="1:8" ht="13">
      <c r="A976" s="44"/>
      <c r="B976" s="179"/>
      <c r="C976" s="414"/>
      <c r="D976" s="414"/>
      <c r="E976" s="44"/>
      <c r="H976" s="44"/>
    </row>
    <row r="977" spans="1:8" ht="13">
      <c r="A977" s="44"/>
      <c r="B977" s="179"/>
      <c r="C977" s="414"/>
      <c r="D977" s="414"/>
      <c r="E977" s="44"/>
      <c r="H977" s="44"/>
    </row>
    <row r="978" spans="1:8" ht="13">
      <c r="A978" s="44"/>
      <c r="B978" s="179"/>
      <c r="C978" s="414"/>
      <c r="D978" s="414"/>
      <c r="E978" s="44"/>
      <c r="H978" s="44"/>
    </row>
    <row r="979" spans="1:8" ht="13">
      <c r="A979" s="44"/>
      <c r="B979" s="179"/>
      <c r="C979" s="414"/>
      <c r="D979" s="414"/>
      <c r="E979" s="44"/>
      <c r="H979" s="44"/>
    </row>
    <row r="980" spans="1:8" ht="13">
      <c r="A980" s="44"/>
      <c r="B980" s="179"/>
      <c r="C980" s="414"/>
      <c r="D980" s="414"/>
      <c r="E980" s="44"/>
      <c r="H980" s="44"/>
    </row>
    <row r="981" spans="1:8" ht="13">
      <c r="A981" s="44"/>
      <c r="B981" s="179"/>
      <c r="C981" s="414"/>
      <c r="D981" s="414"/>
      <c r="E981" s="44"/>
      <c r="H981" s="44"/>
    </row>
    <row r="982" spans="1:8" ht="13">
      <c r="A982" s="44"/>
      <c r="B982" s="179"/>
      <c r="C982" s="414"/>
      <c r="D982" s="414"/>
      <c r="E982" s="44"/>
      <c r="H982" s="44"/>
    </row>
    <row r="983" spans="1:8" ht="13">
      <c r="A983" s="44"/>
      <c r="B983" s="179"/>
      <c r="C983" s="414"/>
      <c r="D983" s="414"/>
      <c r="E983" s="44"/>
      <c r="H983" s="44"/>
    </row>
    <row r="984" spans="1:8" ht="13">
      <c r="A984" s="44"/>
      <c r="B984" s="179"/>
      <c r="C984" s="414"/>
      <c r="D984" s="414"/>
      <c r="E984" s="44"/>
      <c r="H984" s="44"/>
    </row>
    <row r="985" spans="1:8" ht="13">
      <c r="A985" s="44"/>
      <c r="B985" s="179"/>
      <c r="C985" s="414"/>
      <c r="D985" s="414"/>
      <c r="E985" s="44"/>
      <c r="H985" s="44"/>
    </row>
    <row r="986" spans="1:8" ht="13">
      <c r="A986" s="44"/>
      <c r="B986" s="179"/>
      <c r="C986" s="414"/>
      <c r="D986" s="414"/>
      <c r="E986" s="44"/>
      <c r="H986" s="44"/>
    </row>
    <row r="987" spans="1:8" ht="13">
      <c r="A987" s="44"/>
      <c r="B987" s="179"/>
      <c r="C987" s="414"/>
      <c r="D987" s="414"/>
      <c r="E987" s="44"/>
      <c r="H987" s="44"/>
    </row>
    <row r="988" spans="1:8" ht="13">
      <c r="A988" s="44"/>
      <c r="B988" s="179"/>
      <c r="C988" s="414"/>
      <c r="D988" s="414"/>
      <c r="E988" s="44"/>
      <c r="H988" s="44"/>
    </row>
    <row r="989" spans="1:8" ht="13">
      <c r="A989" s="44"/>
      <c r="B989" s="179"/>
      <c r="C989" s="414"/>
      <c r="D989" s="414"/>
      <c r="E989" s="44"/>
      <c r="H989" s="44"/>
    </row>
    <row r="990" spans="1:8" ht="13">
      <c r="A990" s="44"/>
      <c r="B990" s="179"/>
      <c r="C990" s="414"/>
      <c r="D990" s="414"/>
      <c r="E990" s="44"/>
      <c r="H990" s="44"/>
    </row>
    <row r="991" spans="1:8" ht="13">
      <c r="A991" s="44"/>
      <c r="B991" s="179"/>
      <c r="C991" s="414"/>
      <c r="D991" s="414"/>
      <c r="E991" s="44"/>
      <c r="H991" s="44"/>
    </row>
    <row r="992" spans="1:8" ht="13">
      <c r="A992" s="44"/>
      <c r="B992" s="179"/>
      <c r="C992" s="414"/>
      <c r="D992" s="414"/>
      <c r="E992" s="44"/>
      <c r="H992" s="44"/>
    </row>
    <row r="993" spans="1:8" ht="13">
      <c r="A993" s="44"/>
      <c r="B993" s="179"/>
      <c r="C993" s="414"/>
      <c r="D993" s="414"/>
      <c r="E993" s="44"/>
      <c r="H993" s="44"/>
    </row>
    <row r="994" spans="1:8" ht="13">
      <c r="A994" s="44"/>
      <c r="B994" s="179"/>
      <c r="C994" s="414"/>
      <c r="D994" s="414"/>
      <c r="E994" s="44"/>
      <c r="H994" s="44"/>
    </row>
    <row r="995" spans="1:8" ht="13">
      <c r="A995" s="44"/>
      <c r="B995" s="179"/>
      <c r="C995" s="414"/>
      <c r="D995" s="414"/>
      <c r="E995" s="44"/>
      <c r="H995" s="44"/>
    </row>
    <row r="996" spans="1:8" ht="13">
      <c r="A996" s="44"/>
      <c r="B996" s="179"/>
      <c r="C996" s="414"/>
      <c r="D996" s="414"/>
      <c r="E996" s="44"/>
      <c r="H996" s="44"/>
    </row>
    <row r="997" spans="1:8" ht="13">
      <c r="A997" s="44"/>
      <c r="B997" s="179"/>
      <c r="C997" s="414"/>
      <c r="D997" s="414"/>
      <c r="E997" s="44"/>
      <c r="H997" s="44"/>
    </row>
    <row r="998" spans="1:8" ht="13">
      <c r="A998" s="44"/>
      <c r="B998" s="179"/>
      <c r="C998" s="414"/>
      <c r="D998" s="414"/>
      <c r="E998" s="44"/>
      <c r="H998" s="44"/>
    </row>
    <row r="999" spans="1:8" ht="13">
      <c r="A999" s="44"/>
      <c r="B999" s="179"/>
      <c r="C999" s="414"/>
      <c r="D999" s="414"/>
      <c r="E999" s="44"/>
      <c r="H999" s="44"/>
    </row>
    <row r="1000" spans="1:8" ht="13">
      <c r="A1000" s="44"/>
      <c r="B1000" s="179"/>
      <c r="C1000" s="414"/>
      <c r="D1000" s="414"/>
      <c r="E1000" s="44"/>
      <c r="H1000" s="44"/>
    </row>
    <row r="1001" spans="1:8" ht="13">
      <c r="A1001" s="44"/>
      <c r="B1001" s="179"/>
      <c r="C1001" s="414"/>
      <c r="D1001" s="414"/>
      <c r="E1001" s="44"/>
      <c r="H1001" s="44"/>
    </row>
    <row r="1002" spans="1:8" ht="13">
      <c r="A1002" s="44"/>
      <c r="B1002" s="179"/>
      <c r="C1002" s="414"/>
      <c r="D1002" s="414"/>
      <c r="E1002" s="44"/>
      <c r="H1002" s="44"/>
    </row>
    <row r="1003" spans="1:8" ht="13">
      <c r="A1003" s="44"/>
      <c r="B1003" s="179"/>
      <c r="C1003" s="414"/>
      <c r="D1003" s="414"/>
      <c r="E1003" s="44"/>
      <c r="H1003" s="44"/>
    </row>
    <row r="1004" spans="1:8" ht="13">
      <c r="A1004" s="44"/>
      <c r="B1004" s="179"/>
      <c r="C1004" s="414"/>
      <c r="D1004" s="414"/>
      <c r="E1004" s="44"/>
      <c r="H1004" s="44"/>
    </row>
    <row r="1005" spans="1:8" ht="13">
      <c r="A1005" s="44"/>
      <c r="B1005" s="179"/>
      <c r="C1005" s="414"/>
      <c r="D1005" s="414"/>
      <c r="E1005" s="44"/>
      <c r="H1005" s="44"/>
    </row>
    <row r="1006" spans="1:8" ht="13">
      <c r="A1006" s="44"/>
      <c r="B1006" s="179"/>
      <c r="C1006" s="414"/>
      <c r="D1006" s="414"/>
      <c r="E1006" s="44"/>
      <c r="H1006" s="44"/>
    </row>
    <row r="1007" spans="1:8" ht="13">
      <c r="A1007" s="44"/>
      <c r="B1007" s="179"/>
      <c r="C1007" s="414"/>
      <c r="D1007" s="414"/>
      <c r="E1007" s="44"/>
      <c r="H1007" s="44"/>
    </row>
    <row r="1008" spans="1:8" ht="13">
      <c r="A1008" s="44"/>
      <c r="B1008" s="179"/>
      <c r="C1008" s="414"/>
      <c r="D1008" s="414"/>
      <c r="E1008" s="44"/>
      <c r="H1008" s="44"/>
    </row>
    <row r="1009" spans="1:8" ht="13">
      <c r="A1009" s="44"/>
      <c r="B1009" s="179"/>
      <c r="C1009" s="414"/>
      <c r="D1009" s="414"/>
      <c r="E1009" s="44"/>
      <c r="H1009" s="44"/>
    </row>
    <row r="1010" spans="1:8" ht="13">
      <c r="A1010" s="44"/>
      <c r="B1010" s="179"/>
      <c r="C1010" s="414"/>
      <c r="D1010" s="414"/>
      <c r="E1010" s="44"/>
      <c r="H1010" s="44"/>
    </row>
    <row r="1011" spans="1:8" ht="13">
      <c r="A1011" s="44"/>
      <c r="B1011" s="179"/>
      <c r="C1011" s="414"/>
      <c r="D1011" s="414"/>
      <c r="E1011" s="44"/>
      <c r="H1011" s="44"/>
    </row>
    <row r="1012" spans="1:8" ht="13">
      <c r="A1012" s="44"/>
      <c r="B1012" s="179"/>
      <c r="C1012" s="414"/>
      <c r="D1012" s="414"/>
      <c r="E1012" s="44"/>
      <c r="H1012" s="44"/>
    </row>
    <row r="1013" spans="1:8" ht="13">
      <c r="A1013" s="44"/>
      <c r="B1013" s="179"/>
      <c r="C1013" s="414"/>
      <c r="D1013" s="414"/>
      <c r="E1013" s="44"/>
      <c r="H1013" s="44"/>
    </row>
    <row r="1014" spans="1:8" ht="13">
      <c r="A1014" s="44"/>
      <c r="B1014" s="179"/>
      <c r="C1014" s="414"/>
      <c r="D1014" s="414"/>
      <c r="E1014" s="44"/>
      <c r="H1014" s="44"/>
    </row>
    <row r="1015" spans="1:8" ht="13">
      <c r="A1015" s="44"/>
      <c r="B1015" s="179"/>
      <c r="C1015" s="414"/>
      <c r="D1015" s="414"/>
      <c r="E1015" s="44"/>
      <c r="H1015" s="44"/>
    </row>
    <row r="1016" spans="1:8" ht="13">
      <c r="A1016" s="44"/>
      <c r="B1016" s="179"/>
      <c r="C1016" s="414"/>
      <c r="D1016" s="414"/>
      <c r="E1016" s="44"/>
      <c r="H1016" s="44"/>
    </row>
    <row r="1017" spans="1:8" ht="13">
      <c r="A1017" s="44"/>
      <c r="B1017" s="179"/>
      <c r="C1017" s="414"/>
      <c r="D1017" s="414"/>
      <c r="E1017" s="44"/>
      <c r="H1017" s="44"/>
    </row>
    <row r="1018" spans="1:8" ht="13">
      <c r="A1018" s="44"/>
      <c r="B1018" s="179"/>
      <c r="C1018" s="414"/>
      <c r="D1018" s="414"/>
      <c r="E1018" s="44"/>
      <c r="H1018" s="44"/>
    </row>
    <row r="1019" spans="1:8" ht="13">
      <c r="A1019" s="44"/>
      <c r="B1019" s="179"/>
      <c r="C1019" s="414"/>
      <c r="D1019" s="414"/>
      <c r="E1019" s="44"/>
      <c r="H1019" s="44"/>
    </row>
    <row r="1020" spans="1:8" ht="13">
      <c r="A1020" s="44"/>
      <c r="B1020" s="179"/>
      <c r="C1020" s="414"/>
      <c r="D1020" s="414"/>
      <c r="E1020" s="44"/>
      <c r="H1020" s="44"/>
    </row>
    <row r="1021" spans="1:8" ht="13">
      <c r="A1021" s="44"/>
      <c r="B1021" s="179"/>
      <c r="C1021" s="414"/>
      <c r="D1021" s="414"/>
      <c r="E1021" s="44"/>
      <c r="H1021" s="44"/>
    </row>
    <row r="1022" spans="1:8" ht="13">
      <c r="A1022" s="44"/>
      <c r="B1022" s="179"/>
      <c r="C1022" s="414"/>
      <c r="D1022" s="414"/>
      <c r="E1022" s="44"/>
      <c r="H1022" s="44"/>
    </row>
    <row r="1023" spans="1:8" ht="13">
      <c r="A1023" s="44"/>
      <c r="B1023" s="179"/>
      <c r="C1023" s="414"/>
      <c r="D1023" s="414"/>
      <c r="E1023" s="44"/>
      <c r="H1023" s="44"/>
    </row>
    <row r="1024" spans="1:8" ht="13">
      <c r="A1024" s="44"/>
      <c r="B1024" s="179"/>
      <c r="C1024" s="414"/>
      <c r="D1024" s="414"/>
      <c r="E1024" s="44"/>
      <c r="H1024" s="44"/>
    </row>
    <row r="1025" spans="1:8" ht="13">
      <c r="A1025" s="44"/>
      <c r="B1025" s="179"/>
      <c r="C1025" s="414"/>
      <c r="D1025" s="414"/>
      <c r="E1025" s="44"/>
      <c r="H1025" s="44"/>
    </row>
    <row r="1026" spans="1:8" ht="13">
      <c r="A1026" s="44"/>
      <c r="B1026" s="179"/>
      <c r="C1026" s="414"/>
      <c r="D1026" s="414"/>
      <c r="E1026" s="44"/>
      <c r="H1026" s="44"/>
    </row>
    <row r="1027" spans="1:8" ht="13">
      <c r="A1027" s="44"/>
      <c r="B1027" s="179"/>
      <c r="C1027" s="414"/>
      <c r="D1027" s="414"/>
    </row>
  </sheetData>
  <phoneticPr fontId="251" type="noConversion"/>
  <hyperlinks>
    <hyperlink ref="C2" r:id="rId1" xr:uid="{00000000-0004-0000-0800-000000000000}"/>
    <hyperlink ref="H2" r:id="rId2" xr:uid="{00000000-0004-0000-0800-000001000000}"/>
    <hyperlink ref="D3" r:id="rId3" xr:uid="{00000000-0004-0000-0800-000002000000}"/>
    <hyperlink ref="H3" r:id="rId4" xr:uid="{00000000-0004-0000-0800-000003000000}"/>
    <hyperlink ref="N3" r:id="rId5" xr:uid="{00000000-0004-0000-0800-000004000000}"/>
    <hyperlink ref="C4" r:id="rId6" xr:uid="{00000000-0004-0000-0800-000005000000}"/>
    <hyperlink ref="H4" r:id="rId7" xr:uid="{00000000-0004-0000-0800-000006000000}"/>
    <hyperlink ref="N4" r:id="rId8" xr:uid="{00000000-0004-0000-0800-000007000000}"/>
    <hyperlink ref="C5" r:id="rId9" xr:uid="{00000000-0004-0000-0800-000008000000}"/>
    <hyperlink ref="H5" r:id="rId10" xr:uid="{00000000-0004-0000-0800-000009000000}"/>
    <hyperlink ref="C6" r:id="rId11" xr:uid="{00000000-0004-0000-0800-00000A000000}"/>
    <hyperlink ref="D6" r:id="rId12" xr:uid="{00000000-0004-0000-0800-00000B000000}"/>
    <hyperlink ref="H6" r:id="rId13" xr:uid="{00000000-0004-0000-0800-00000C000000}"/>
    <hyperlink ref="D7" r:id="rId14" xr:uid="{00000000-0004-0000-0800-00000D000000}"/>
    <hyperlink ref="H7" r:id="rId15" xr:uid="{00000000-0004-0000-0800-00000E000000}"/>
    <hyperlink ref="N7" r:id="rId16" xr:uid="{00000000-0004-0000-0800-00000F000000}"/>
    <hyperlink ref="C8" r:id="rId17" xr:uid="{00000000-0004-0000-0800-000010000000}"/>
    <hyperlink ref="D8" r:id="rId18" xr:uid="{00000000-0004-0000-0800-000011000000}"/>
    <hyperlink ref="H8" r:id="rId19" xr:uid="{00000000-0004-0000-0800-000012000000}"/>
    <hyperlink ref="N8" r:id="rId20" xr:uid="{00000000-0004-0000-0800-000013000000}"/>
    <hyperlink ref="C9" r:id="rId21" xr:uid="{00000000-0004-0000-0800-000014000000}"/>
    <hyperlink ref="D9" r:id="rId22" xr:uid="{00000000-0004-0000-0800-000015000000}"/>
    <hyperlink ref="H9" r:id="rId23" xr:uid="{00000000-0004-0000-0800-000016000000}"/>
    <hyperlink ref="C10" r:id="rId24" xr:uid="{00000000-0004-0000-0800-000017000000}"/>
    <hyperlink ref="H10" r:id="rId25" xr:uid="{00000000-0004-0000-0800-000018000000}"/>
    <hyperlink ref="N10" r:id="rId26" xr:uid="{00000000-0004-0000-0800-000019000000}"/>
    <hyperlink ref="C11" r:id="rId27" xr:uid="{00000000-0004-0000-0800-00001A000000}"/>
    <hyperlink ref="D11" r:id="rId28" xr:uid="{00000000-0004-0000-0800-00001B000000}"/>
    <hyperlink ref="H11" r:id="rId29" xr:uid="{00000000-0004-0000-0800-00001C000000}"/>
    <hyperlink ref="C12" r:id="rId30" xr:uid="{00000000-0004-0000-0800-00001D000000}"/>
    <hyperlink ref="D12" r:id="rId31" xr:uid="{00000000-0004-0000-0800-00001E000000}"/>
    <hyperlink ref="H12" r:id="rId32" xr:uid="{00000000-0004-0000-0800-00001F000000}"/>
    <hyperlink ref="N12" r:id="rId33" xr:uid="{00000000-0004-0000-0800-000020000000}"/>
    <hyperlink ref="D13" r:id="rId34" xr:uid="{00000000-0004-0000-0800-000021000000}"/>
    <hyperlink ref="N13" r:id="rId35" xr:uid="{00000000-0004-0000-0800-000022000000}"/>
    <hyperlink ref="C14" r:id="rId36" xr:uid="{00000000-0004-0000-0800-000023000000}"/>
    <hyperlink ref="D14" r:id="rId37" xr:uid="{00000000-0004-0000-0800-000024000000}"/>
    <hyperlink ref="D15" r:id="rId38" xr:uid="{00000000-0004-0000-0800-000025000000}"/>
    <hyperlink ref="D16" r:id="rId39" xr:uid="{00000000-0004-0000-0800-000026000000}"/>
    <hyperlink ref="H16" r:id="rId40" xr:uid="{00000000-0004-0000-0800-000027000000}"/>
    <hyperlink ref="N16" r:id="rId41" xr:uid="{00000000-0004-0000-0800-000028000000}"/>
    <hyperlink ref="C17" r:id="rId42" xr:uid="{00000000-0004-0000-0800-000029000000}"/>
    <hyperlink ref="H17" r:id="rId43" xr:uid="{00000000-0004-0000-0800-00002A000000}"/>
    <hyperlink ref="N17" r:id="rId44" xr:uid="{00000000-0004-0000-0800-00002B000000}"/>
    <hyperlink ref="D18" r:id="rId45" xr:uid="{00000000-0004-0000-0800-00002C000000}"/>
    <hyperlink ref="H18" r:id="rId46" xr:uid="{00000000-0004-0000-0800-00002D000000}"/>
    <hyperlink ref="N18" r:id="rId47" xr:uid="{00000000-0004-0000-0800-00002E000000}"/>
    <hyperlink ref="C19" r:id="rId48" xr:uid="{00000000-0004-0000-0800-00002F000000}"/>
    <hyperlink ref="H19" r:id="rId49" xr:uid="{00000000-0004-0000-0800-000030000000}"/>
    <hyperlink ref="C20" r:id="rId50" xr:uid="{00000000-0004-0000-0800-000031000000}"/>
    <hyperlink ref="D20" r:id="rId51" xr:uid="{00000000-0004-0000-0800-000032000000}"/>
    <hyperlink ref="H20" r:id="rId52" xr:uid="{00000000-0004-0000-0800-000033000000}"/>
    <hyperlink ref="N20" r:id="rId53" xr:uid="{00000000-0004-0000-0800-000034000000}"/>
    <hyperlink ref="D21" r:id="rId54" xr:uid="{00000000-0004-0000-0800-000035000000}"/>
    <hyperlink ref="H21" r:id="rId55" xr:uid="{00000000-0004-0000-0800-000036000000}"/>
    <hyperlink ref="N21" r:id="rId56" xr:uid="{00000000-0004-0000-0800-000037000000}"/>
    <hyperlink ref="C22" r:id="rId57" xr:uid="{00000000-0004-0000-0800-000038000000}"/>
    <hyperlink ref="H22" r:id="rId58" xr:uid="{00000000-0004-0000-0800-000039000000}"/>
    <hyperlink ref="C23" r:id="rId59" xr:uid="{00000000-0004-0000-0800-00003A000000}"/>
    <hyperlink ref="D23" r:id="rId60" xr:uid="{00000000-0004-0000-0800-00003B000000}"/>
    <hyperlink ref="H23" r:id="rId61" xr:uid="{00000000-0004-0000-0800-00003C000000}"/>
    <hyperlink ref="N23" r:id="rId62" xr:uid="{00000000-0004-0000-0800-00003D000000}"/>
    <hyperlink ref="C24" r:id="rId63" xr:uid="{00000000-0004-0000-0800-00003E000000}"/>
    <hyperlink ref="D24" r:id="rId64" xr:uid="{00000000-0004-0000-0800-00003F000000}"/>
    <hyperlink ref="H24" r:id="rId65" xr:uid="{00000000-0004-0000-0800-000040000000}"/>
    <hyperlink ref="N24" r:id="rId66" xr:uid="{00000000-0004-0000-0800-000041000000}"/>
    <hyperlink ref="C25" r:id="rId67" xr:uid="{00000000-0004-0000-0800-000042000000}"/>
    <hyperlink ref="H25" r:id="rId68" xr:uid="{00000000-0004-0000-0800-000043000000}"/>
    <hyperlink ref="N25" r:id="rId69" xr:uid="{00000000-0004-0000-0800-000044000000}"/>
    <hyperlink ref="C26" r:id="rId70" xr:uid="{00000000-0004-0000-0800-000045000000}"/>
    <hyperlink ref="D26" r:id="rId71" xr:uid="{00000000-0004-0000-0800-000046000000}"/>
    <hyperlink ref="H26" r:id="rId72" xr:uid="{00000000-0004-0000-0800-000047000000}"/>
    <hyperlink ref="N26" r:id="rId73" xr:uid="{00000000-0004-0000-0800-000048000000}"/>
    <hyperlink ref="C27" r:id="rId74" xr:uid="{00000000-0004-0000-0800-000049000000}"/>
    <hyperlink ref="D27" r:id="rId75" xr:uid="{00000000-0004-0000-0800-00004A000000}"/>
    <hyperlink ref="C28" r:id="rId76" xr:uid="{00000000-0004-0000-0800-00004B000000}"/>
    <hyperlink ref="D28" r:id="rId77" xr:uid="{00000000-0004-0000-0800-00004C000000}"/>
    <hyperlink ref="C29" r:id="rId78" xr:uid="{00000000-0004-0000-0800-00004D000000}"/>
    <hyperlink ref="D29" r:id="rId79" xr:uid="{00000000-0004-0000-0800-00004E000000}"/>
    <hyperlink ref="D30" r:id="rId80" xr:uid="{00000000-0004-0000-0800-00004F000000}"/>
    <hyperlink ref="H31" r:id="rId81" xr:uid="{00000000-0004-0000-0800-000050000000}"/>
    <hyperlink ref="H32" r:id="rId82" xr:uid="{00000000-0004-0000-0800-000051000000}"/>
    <hyperlink ref="H33" r:id="rId83" xr:uid="{00000000-0004-0000-0800-000052000000}"/>
    <hyperlink ref="H34" r:id="rId84" xr:uid="{00000000-0004-0000-0800-000053000000}"/>
    <hyperlink ref="N35" r:id="rId85" xr:uid="{00000000-0004-0000-0800-000054000000}"/>
    <hyperlink ref="N36" r:id="rId86" xr:uid="{00000000-0004-0000-0800-000055000000}"/>
    <hyperlink ref="N37" r:id="rId87" xr:uid="{00000000-0004-0000-0800-000056000000}"/>
    <hyperlink ref="N38" r:id="rId88" xr:uid="{00000000-0004-0000-0800-000057000000}"/>
    <hyperlink ref="N39" r:id="rId89" xr:uid="{00000000-0004-0000-0800-000058000000}"/>
    <hyperlink ref="H40" r:id="rId90" xr:uid="{00000000-0004-0000-0800-000059000000}"/>
    <hyperlink ref="H41" r:id="rId91" xr:uid="{00000000-0004-0000-0800-00005A000000}"/>
    <hyperlink ref="H42" r:id="rId92" xr:uid="{00000000-0004-0000-0800-00005B000000}"/>
    <hyperlink ref="H43" r:id="rId93" xr:uid="{00000000-0004-0000-0800-00005C000000}"/>
    <hyperlink ref="H44" r:id="rId94" xr:uid="{00000000-0004-0000-0800-00005D000000}"/>
    <hyperlink ref="H45" r:id="rId95" xr:uid="{00000000-0004-0000-0800-00005E000000}"/>
    <hyperlink ref="H46" r:id="rId96" xr:uid="{00000000-0004-0000-0800-00005F000000}"/>
    <hyperlink ref="C48" r:id="rId97" xr:uid="{00000000-0004-0000-0800-000060000000}"/>
    <hyperlink ref="D48" r:id="rId98" xr:uid="{00000000-0004-0000-0800-000061000000}"/>
    <hyperlink ref="N48" r:id="rId99" xr:uid="{00000000-0004-0000-0800-000062000000}"/>
    <hyperlink ref="D49" r:id="rId100" xr:uid="{00000000-0004-0000-0800-000063000000}"/>
    <hyperlink ref="H49" r:id="rId101" xr:uid="{00000000-0004-0000-0800-000064000000}"/>
    <hyperlink ref="D50" r:id="rId102" xr:uid="{00000000-0004-0000-0800-000065000000}"/>
    <hyperlink ref="N50" r:id="rId103" xr:uid="{00000000-0004-0000-0800-000066000000}"/>
    <hyperlink ref="D51" r:id="rId104" xr:uid="{00000000-0004-0000-0800-000067000000}"/>
    <hyperlink ref="N51" r:id="rId105" xr:uid="{00000000-0004-0000-0800-000068000000}"/>
    <hyperlink ref="D52" r:id="rId106" xr:uid="{00000000-0004-0000-0800-000069000000}"/>
    <hyperlink ref="H52" r:id="rId107" xr:uid="{00000000-0004-0000-0800-00006A000000}"/>
    <hyperlink ref="N52" r:id="rId108" xr:uid="{00000000-0004-0000-0800-00006B000000}"/>
    <hyperlink ref="H53" r:id="rId109" xr:uid="{00000000-0004-0000-0800-00006C000000}"/>
    <hyperlink ref="D54" r:id="rId110" xr:uid="{00000000-0004-0000-0800-00006D000000}"/>
    <hyperlink ref="D55" r:id="rId111" xr:uid="{00000000-0004-0000-0800-00006E000000}"/>
    <hyperlink ref="D56" r:id="rId112" xr:uid="{00000000-0004-0000-0800-00006F000000}"/>
    <hyperlink ref="D57" r:id="rId113" xr:uid="{00000000-0004-0000-0800-000070000000}"/>
    <hyperlink ref="D59" r:id="rId114" xr:uid="{00000000-0004-0000-0800-000071000000}"/>
    <hyperlink ref="D60" r:id="rId115" xr:uid="{00000000-0004-0000-0800-000072000000}"/>
    <hyperlink ref="C61" r:id="rId116" xr:uid="{00000000-0004-0000-0800-000073000000}"/>
    <hyperlink ref="H61" r:id="rId117" xr:uid="{00000000-0004-0000-0800-000074000000}"/>
    <hyperlink ref="N61" r:id="rId118" xr:uid="{00000000-0004-0000-0800-000075000000}"/>
    <hyperlink ref="D62" r:id="rId119" xr:uid="{00000000-0004-0000-0800-000076000000}"/>
    <hyperlink ref="D63" r:id="rId120" xr:uid="{00000000-0004-0000-0800-000077000000}"/>
    <hyperlink ref="N63" r:id="rId121" xr:uid="{00000000-0004-0000-0800-000078000000}"/>
    <hyperlink ref="H64" r:id="rId122" xr:uid="{00000000-0004-0000-0800-000079000000}"/>
    <hyperlink ref="N64" r:id="rId123" xr:uid="{00000000-0004-0000-0800-00007A000000}"/>
    <hyperlink ref="C65" r:id="rId124" xr:uid="{00000000-0004-0000-0800-00007B000000}"/>
    <hyperlink ref="H65" r:id="rId125" xr:uid="{00000000-0004-0000-0800-00007C000000}"/>
    <hyperlink ref="D66" r:id="rId126" xr:uid="{00000000-0004-0000-0800-00007D000000}"/>
    <hyperlink ref="N66" r:id="rId127" xr:uid="{00000000-0004-0000-0800-00007E000000}"/>
    <hyperlink ref="D67" r:id="rId128" xr:uid="{00000000-0004-0000-0800-00007F000000}"/>
    <hyperlink ref="N67" r:id="rId129" xr:uid="{00000000-0004-0000-0800-000080000000}"/>
    <hyperlink ref="D68" r:id="rId130" xr:uid="{00000000-0004-0000-0800-000081000000}"/>
    <hyperlink ref="N68" r:id="rId131" xr:uid="{00000000-0004-0000-0800-000082000000}"/>
    <hyperlink ref="D69" r:id="rId132" xr:uid="{00000000-0004-0000-0800-000083000000}"/>
    <hyperlink ref="N69" r:id="rId133" xr:uid="{00000000-0004-0000-0800-000084000000}"/>
    <hyperlink ref="D70" r:id="rId134" xr:uid="{00000000-0004-0000-0800-000085000000}"/>
    <hyperlink ref="N70" r:id="rId135" xr:uid="{00000000-0004-0000-0800-000086000000}"/>
    <hyperlink ref="D71" r:id="rId136" xr:uid="{00000000-0004-0000-0800-000087000000}"/>
    <hyperlink ref="N71" r:id="rId137" xr:uid="{00000000-0004-0000-0800-000088000000}"/>
    <hyperlink ref="D72" r:id="rId138" xr:uid="{00000000-0004-0000-0800-000089000000}"/>
    <hyperlink ref="H72" r:id="rId139" xr:uid="{00000000-0004-0000-0800-00008A000000}"/>
    <hyperlink ref="N72" r:id="rId140" xr:uid="{00000000-0004-0000-0800-00008B000000}"/>
    <hyperlink ref="D73" r:id="rId141" xr:uid="{00000000-0004-0000-0800-00008C000000}"/>
    <hyperlink ref="N73" r:id="rId142" xr:uid="{00000000-0004-0000-0800-00008D000000}"/>
    <hyperlink ref="D74" r:id="rId143" xr:uid="{00000000-0004-0000-0800-00008E000000}"/>
    <hyperlink ref="N74" r:id="rId144" xr:uid="{00000000-0004-0000-0800-00008F000000}"/>
    <hyperlink ref="D75" r:id="rId145" xr:uid="{00000000-0004-0000-0800-000090000000}"/>
    <hyperlink ref="H75" r:id="rId146" xr:uid="{00000000-0004-0000-0800-000091000000}"/>
    <hyperlink ref="N75" r:id="rId147" xr:uid="{00000000-0004-0000-0800-000092000000}"/>
    <hyperlink ref="D76" r:id="rId148" xr:uid="{00000000-0004-0000-0800-000093000000}"/>
    <hyperlink ref="N76" r:id="rId149" xr:uid="{00000000-0004-0000-0800-000094000000}"/>
    <hyperlink ref="H77" r:id="rId150" xr:uid="{00000000-0004-0000-0800-000095000000}"/>
    <hyperlink ref="D78" r:id="rId151" xr:uid="{00000000-0004-0000-0800-000096000000}"/>
    <hyperlink ref="H79" r:id="rId152" xr:uid="{00000000-0004-0000-0800-000097000000}"/>
    <hyperlink ref="N80" r:id="rId153" xr:uid="{00000000-0004-0000-0800-000098000000}"/>
    <hyperlink ref="H81" r:id="rId154" xr:uid="{00000000-0004-0000-0800-000099000000}"/>
    <hyperlink ref="C82" r:id="rId155" xr:uid="{00000000-0004-0000-0800-00009A000000}"/>
    <hyperlink ref="D82" r:id="rId156" xr:uid="{00000000-0004-0000-0800-00009B000000}"/>
    <hyperlink ref="H82" r:id="rId157" xr:uid="{00000000-0004-0000-0800-00009C000000}"/>
    <hyperlink ref="N82" r:id="rId158" xr:uid="{00000000-0004-0000-0800-00009D000000}"/>
    <hyperlink ref="D83" r:id="rId159" xr:uid="{00000000-0004-0000-0800-00009E000000}"/>
    <hyperlink ref="D84" r:id="rId160" xr:uid="{00000000-0004-0000-0800-00009F000000}"/>
    <hyperlink ref="N84" r:id="rId161" xr:uid="{00000000-0004-0000-0800-0000A0000000}"/>
    <hyperlink ref="C85" r:id="rId162" xr:uid="{00000000-0004-0000-0800-0000A1000000}"/>
    <hyperlink ref="N85" r:id="rId163" xr:uid="{00000000-0004-0000-0800-0000A2000000}"/>
    <hyperlink ref="H87" r:id="rId164" xr:uid="{00000000-0004-0000-0800-0000A3000000}"/>
    <hyperlink ref="C89" r:id="rId165" xr:uid="{00000000-0004-0000-0800-0000A4000000}"/>
    <hyperlink ref="D90" r:id="rId166" xr:uid="{00000000-0004-0000-0800-0000A5000000}"/>
    <hyperlink ref="N90" r:id="rId167" xr:uid="{00000000-0004-0000-0800-0000A6000000}"/>
    <hyperlink ref="C91" r:id="rId168" xr:uid="{00000000-0004-0000-0800-0000A7000000}"/>
    <hyperlink ref="H91" r:id="rId169" xr:uid="{00000000-0004-0000-0800-0000A8000000}"/>
    <hyperlink ref="H92" r:id="rId170" xr:uid="{00000000-0004-0000-0800-0000A9000000}"/>
    <hyperlink ref="N93" r:id="rId171" xr:uid="{00000000-0004-0000-0800-0000AA000000}"/>
    <hyperlink ref="D94" r:id="rId172" xr:uid="{00000000-0004-0000-0800-0000AB000000}"/>
    <hyperlink ref="N94" r:id="rId173" xr:uid="{00000000-0004-0000-0800-0000AC000000}"/>
    <hyperlink ref="C95" r:id="rId174" xr:uid="{00000000-0004-0000-0800-0000AD000000}"/>
    <hyperlink ref="H95" r:id="rId175" xr:uid="{00000000-0004-0000-0800-0000AE000000}"/>
    <hyperlink ref="H96" r:id="rId176" xr:uid="{00000000-0004-0000-0800-0000AF000000}"/>
    <hyperlink ref="N96" r:id="rId177" xr:uid="{00000000-0004-0000-0800-0000B0000000}"/>
    <hyperlink ref="H97" r:id="rId178" xr:uid="{00000000-0004-0000-0800-0000B1000000}"/>
    <hyperlink ref="N97" r:id="rId179" xr:uid="{00000000-0004-0000-0800-0000B2000000}"/>
    <hyperlink ref="C98" r:id="rId180" xr:uid="{00000000-0004-0000-0800-0000B3000000}"/>
    <hyperlink ref="D99" r:id="rId181" xr:uid="{00000000-0004-0000-0800-0000B4000000}"/>
    <hyperlink ref="C100" r:id="rId182" xr:uid="{00000000-0004-0000-0800-0000B5000000}"/>
    <hyperlink ref="D100" r:id="rId183" xr:uid="{00000000-0004-0000-0800-0000B6000000}"/>
    <hyperlink ref="D101" r:id="rId184" xr:uid="{00000000-0004-0000-0800-0000B7000000}"/>
    <hyperlink ref="H101" r:id="rId185" xr:uid="{00000000-0004-0000-0800-0000B8000000}"/>
    <hyperlink ref="N101" r:id="rId186" xr:uid="{00000000-0004-0000-0800-0000B9000000}"/>
    <hyperlink ref="D103" r:id="rId187" xr:uid="{00000000-0004-0000-0800-0000BA000000}"/>
    <hyperlink ref="H103" r:id="rId188" xr:uid="{00000000-0004-0000-0800-0000BB000000}"/>
    <hyperlink ref="N103" r:id="rId189" xr:uid="{00000000-0004-0000-0800-0000BC000000}"/>
    <hyperlink ref="T103" r:id="rId190" xr:uid="{00000000-0004-0000-0800-0000BD000000}"/>
    <hyperlink ref="D104" r:id="rId191" xr:uid="{00000000-0004-0000-0800-0000BE000000}"/>
    <hyperlink ref="H104" r:id="rId192" xr:uid="{00000000-0004-0000-0800-0000BF000000}"/>
    <hyperlink ref="N104" r:id="rId193" xr:uid="{00000000-0004-0000-0800-0000C0000000}"/>
    <hyperlink ref="D105" r:id="rId194" xr:uid="{00000000-0004-0000-0800-0000C1000000}"/>
    <hyperlink ref="C106" r:id="rId195" xr:uid="{00000000-0004-0000-0800-0000C2000000}"/>
    <hyperlink ref="D107" r:id="rId196" xr:uid="{00000000-0004-0000-0800-0000C3000000}"/>
    <hyperlink ref="N107" r:id="rId197" xr:uid="{00000000-0004-0000-0800-0000C4000000}"/>
    <hyperlink ref="C108" r:id="rId198" xr:uid="{00000000-0004-0000-0800-0000C5000000}"/>
    <hyperlink ref="D109" r:id="rId199" xr:uid="{00000000-0004-0000-0800-0000C6000000}"/>
    <hyperlink ref="N109" r:id="rId200" xr:uid="{00000000-0004-0000-0800-0000C7000000}"/>
    <hyperlink ref="D110" r:id="rId201" xr:uid="{00000000-0004-0000-0800-0000C8000000}"/>
    <hyperlink ref="D111" r:id="rId202" xr:uid="{00000000-0004-0000-0800-0000C9000000}"/>
    <hyperlink ref="D112" r:id="rId203" xr:uid="{00000000-0004-0000-0800-0000CA000000}"/>
    <hyperlink ref="H112" r:id="rId204" xr:uid="{00000000-0004-0000-0800-0000CB000000}"/>
    <hyperlink ref="D113" r:id="rId205" xr:uid="{00000000-0004-0000-0800-0000CC000000}"/>
    <hyperlink ref="N113" r:id="rId206" xr:uid="{00000000-0004-0000-0800-0000CD000000}"/>
    <hyperlink ref="D114" r:id="rId207" xr:uid="{00000000-0004-0000-0800-0000CE000000}"/>
    <hyperlink ref="H114" r:id="rId208" xr:uid="{00000000-0004-0000-0800-0000CF000000}"/>
    <hyperlink ref="N114" r:id="rId209" xr:uid="{00000000-0004-0000-0800-0000D0000000}"/>
    <hyperlink ref="D115" r:id="rId210" xr:uid="{00000000-0004-0000-0800-0000D1000000}"/>
    <hyperlink ref="N115" r:id="rId211" xr:uid="{00000000-0004-0000-0800-0000D2000000}"/>
    <hyperlink ref="D116" r:id="rId212" xr:uid="{00000000-0004-0000-0800-0000D3000000}"/>
    <hyperlink ref="D117" r:id="rId213" xr:uid="{00000000-0004-0000-0800-0000D4000000}"/>
    <hyperlink ref="D118" r:id="rId214" xr:uid="{00000000-0004-0000-0800-0000D5000000}"/>
    <hyperlink ref="D119" r:id="rId215" xr:uid="{00000000-0004-0000-0800-0000D6000000}"/>
    <hyperlink ref="D120" r:id="rId216" xr:uid="{00000000-0004-0000-0800-0000D7000000}"/>
    <hyperlink ref="D121" r:id="rId217" xr:uid="{00000000-0004-0000-0800-0000D8000000}"/>
    <hyperlink ref="H121" r:id="rId218" xr:uid="{00000000-0004-0000-0800-0000D9000000}"/>
    <hyperlink ref="N121" r:id="rId219" xr:uid="{00000000-0004-0000-0800-0000DA000000}"/>
    <hyperlink ref="D122" r:id="rId220" xr:uid="{00000000-0004-0000-0800-0000DB000000}"/>
    <hyperlink ref="H122" r:id="rId221" xr:uid="{00000000-0004-0000-0800-0000DC000000}"/>
    <hyperlink ref="N122" r:id="rId222" xr:uid="{00000000-0004-0000-0800-0000DD000000}"/>
    <hyperlink ref="D123" r:id="rId223" xr:uid="{00000000-0004-0000-0800-0000DE000000}"/>
    <hyperlink ref="H123" r:id="rId224" xr:uid="{00000000-0004-0000-0800-0000DF000000}"/>
    <hyperlink ref="N123" r:id="rId225" xr:uid="{00000000-0004-0000-0800-0000E0000000}"/>
    <hyperlink ref="C124" r:id="rId226" xr:uid="{00000000-0004-0000-0800-0000E1000000}"/>
    <hyperlink ref="D125" r:id="rId227" xr:uid="{00000000-0004-0000-0800-0000E2000000}"/>
    <hyperlink ref="N125" r:id="rId228" xr:uid="{00000000-0004-0000-0800-0000E3000000}"/>
    <hyperlink ref="D126" r:id="rId229" xr:uid="{00000000-0004-0000-0800-0000E4000000}"/>
    <hyperlink ref="N126" r:id="rId230" xr:uid="{00000000-0004-0000-0800-0000E5000000}"/>
    <hyperlink ref="D127" r:id="rId231" xr:uid="{00000000-0004-0000-0800-0000E6000000}"/>
    <hyperlink ref="D128" r:id="rId232" xr:uid="{00000000-0004-0000-0800-0000E7000000}"/>
    <hyperlink ref="D129" r:id="rId233" xr:uid="{00000000-0004-0000-0800-0000E8000000}"/>
    <hyperlink ref="D130" r:id="rId234" xr:uid="{00000000-0004-0000-0800-0000E9000000}"/>
    <hyperlink ref="N130" r:id="rId235" xr:uid="{00000000-0004-0000-0800-0000EA000000}"/>
    <hyperlink ref="D131" r:id="rId236" xr:uid="{00000000-0004-0000-0800-0000EB000000}"/>
    <hyperlink ref="N131" r:id="rId237" xr:uid="{00000000-0004-0000-0800-0000EC000000}"/>
    <hyperlink ref="D132" r:id="rId238" xr:uid="{00000000-0004-0000-0800-0000ED000000}"/>
    <hyperlink ref="D133" r:id="rId239" xr:uid="{00000000-0004-0000-0800-0000EE000000}"/>
    <hyperlink ref="N133" r:id="rId240" xr:uid="{00000000-0004-0000-0800-0000EF000000}"/>
    <hyperlink ref="D134" r:id="rId241" xr:uid="{00000000-0004-0000-0800-0000F0000000}"/>
    <hyperlink ref="N134" r:id="rId242" xr:uid="{00000000-0004-0000-0800-0000F1000000}"/>
    <hyperlink ref="D135" r:id="rId243" xr:uid="{00000000-0004-0000-0800-0000F2000000}"/>
    <hyperlink ref="H135" r:id="rId244" xr:uid="{00000000-0004-0000-0800-0000F3000000}"/>
    <hyperlink ref="N135" r:id="rId245" xr:uid="{00000000-0004-0000-0800-0000F4000000}"/>
    <hyperlink ref="D137" r:id="rId246" xr:uid="{00000000-0004-0000-0800-0000F5000000}"/>
    <hyperlink ref="N137" r:id="rId247" xr:uid="{00000000-0004-0000-0800-0000F6000000}"/>
    <hyperlink ref="D138" r:id="rId248" xr:uid="{00000000-0004-0000-0800-0000F7000000}"/>
    <hyperlink ref="N138" r:id="rId249" xr:uid="{00000000-0004-0000-0800-0000F8000000}"/>
    <hyperlink ref="C139" r:id="rId250" xr:uid="{00000000-0004-0000-0800-0000F9000000}"/>
    <hyperlink ref="D140" r:id="rId251" xr:uid="{00000000-0004-0000-0800-0000FA000000}"/>
    <hyperlink ref="D141" r:id="rId252" xr:uid="{00000000-0004-0000-0800-0000FB000000}"/>
    <hyperlink ref="H141" r:id="rId253" xr:uid="{00000000-0004-0000-0800-0000FC000000}"/>
    <hyperlink ref="C142" r:id="rId254" xr:uid="{00000000-0004-0000-0800-0000FD000000}"/>
    <hyperlink ref="D143" r:id="rId255" xr:uid="{00000000-0004-0000-0800-0000FE000000}"/>
    <hyperlink ref="N143" r:id="rId256" xr:uid="{00000000-0004-0000-0800-0000FF000000}"/>
    <hyperlink ref="C144" r:id="rId257" xr:uid="{00000000-0004-0000-0800-000000010000}"/>
    <hyperlink ref="D145" r:id="rId258" xr:uid="{00000000-0004-0000-0800-000001010000}"/>
    <hyperlink ref="N145" r:id="rId259" xr:uid="{00000000-0004-0000-0800-000002010000}"/>
    <hyperlink ref="C146" r:id="rId260" xr:uid="{00000000-0004-0000-0800-000003010000}"/>
    <hyperlink ref="H148" r:id="rId261" xr:uid="{00000000-0004-0000-0800-000004010000}"/>
    <hyperlink ref="N148" r:id="rId262" xr:uid="{00000000-0004-0000-0800-000005010000}"/>
    <hyperlink ref="C149" r:id="rId263" xr:uid="{00000000-0004-0000-0800-000006010000}"/>
    <hyperlink ref="D149" r:id="rId264" xr:uid="{00000000-0004-0000-0800-000007010000}"/>
    <hyperlink ref="H149" r:id="rId265" xr:uid="{00000000-0004-0000-0800-000008010000}"/>
    <hyperlink ref="N149" r:id="rId266" xr:uid="{00000000-0004-0000-0800-000009010000}"/>
    <hyperlink ref="D150" r:id="rId267" xr:uid="{00000000-0004-0000-0800-00000A010000}"/>
    <hyperlink ref="D151" r:id="rId268" xr:uid="{00000000-0004-0000-0800-00000B010000}"/>
    <hyperlink ref="D152" r:id="rId269" xr:uid="{00000000-0004-0000-0800-00000C010000}"/>
    <hyperlink ref="C154" r:id="rId270" xr:uid="{00000000-0004-0000-0800-00000D010000}"/>
    <hyperlink ref="C155" r:id="rId271" xr:uid="{00000000-0004-0000-0800-00000E010000}"/>
    <hyperlink ref="H156" r:id="rId272" xr:uid="{00000000-0004-0000-0800-00000F010000}"/>
    <hyperlink ref="C157" r:id="rId273" xr:uid="{00000000-0004-0000-0800-000010010000}"/>
    <hyperlink ref="C158" r:id="rId274" xr:uid="{00000000-0004-0000-0800-000011010000}"/>
    <hyperlink ref="H158" r:id="rId275" xr:uid="{00000000-0004-0000-0800-000012010000}"/>
    <hyperlink ref="N158" r:id="rId276" xr:uid="{00000000-0004-0000-0800-000013010000}"/>
    <hyperlink ref="D159" r:id="rId277" xr:uid="{00000000-0004-0000-0800-000014010000}"/>
    <hyperlink ref="N159" r:id="rId278" xr:uid="{00000000-0004-0000-0800-000015010000}"/>
    <hyperlink ref="C160" r:id="rId279" xr:uid="{00000000-0004-0000-0800-000016010000}"/>
    <hyperlink ref="N160" r:id="rId280" xr:uid="{00000000-0004-0000-0800-000017010000}"/>
    <hyperlink ref="C161" r:id="rId281" xr:uid="{00000000-0004-0000-0800-000018010000}"/>
    <hyperlink ref="C162" r:id="rId282" xr:uid="{00000000-0004-0000-0800-000019010000}"/>
    <hyperlink ref="N162" r:id="rId283" xr:uid="{00000000-0004-0000-0800-00001A010000}"/>
    <hyperlink ref="C163" r:id="rId284" xr:uid="{00000000-0004-0000-0800-00001B010000}"/>
    <hyperlink ref="D164" r:id="rId285" xr:uid="{00000000-0004-0000-0800-00001C010000}"/>
    <hyperlink ref="N164" r:id="rId286" xr:uid="{00000000-0004-0000-0800-00001D010000}"/>
    <hyperlink ref="C165" r:id="rId287" xr:uid="{00000000-0004-0000-0800-00001E010000}"/>
    <hyperlink ref="H165" r:id="rId288" xr:uid="{00000000-0004-0000-0800-00001F010000}"/>
    <hyperlink ref="H166" r:id="rId289" xr:uid="{00000000-0004-0000-0800-000020010000}"/>
    <hyperlink ref="C167" r:id="rId290" xr:uid="{00000000-0004-0000-0800-000021010000}"/>
    <hyperlink ref="H168" r:id="rId291" xr:uid="{00000000-0004-0000-0800-000022010000}"/>
    <hyperlink ref="H169" r:id="rId292" xr:uid="{00000000-0004-0000-0800-000023010000}"/>
    <hyperlink ref="C170" r:id="rId293" xr:uid="{00000000-0004-0000-0800-000024010000}"/>
    <hyperlink ref="D170" r:id="rId294" xr:uid="{00000000-0004-0000-0800-000025010000}"/>
    <hyperlink ref="C171" r:id="rId295" xr:uid="{00000000-0004-0000-0800-000026010000}"/>
    <hyperlink ref="C172" r:id="rId296" xr:uid="{00000000-0004-0000-0800-000027010000}"/>
    <hyperlink ref="N172" r:id="rId297" xr:uid="{00000000-0004-0000-0800-000028010000}"/>
    <hyperlink ref="D173" r:id="rId298" xr:uid="{00000000-0004-0000-0800-000029010000}"/>
    <hyperlink ref="D174" r:id="rId299" xr:uid="{00000000-0004-0000-0800-00002A010000}"/>
    <hyperlink ref="D175" r:id="rId300" xr:uid="{00000000-0004-0000-0800-00002B010000}"/>
    <hyperlink ref="D176" r:id="rId301" xr:uid="{00000000-0004-0000-0800-00002C010000}"/>
    <hyperlink ref="D177" r:id="rId302" xr:uid="{00000000-0004-0000-0800-00002D010000}"/>
    <hyperlink ref="D178" r:id="rId303" xr:uid="{00000000-0004-0000-0800-00002E010000}"/>
    <hyperlink ref="D180" r:id="rId304" xr:uid="{00000000-0004-0000-0800-00002F010000}"/>
    <hyperlink ref="N180" r:id="rId305" xr:uid="{00000000-0004-0000-0800-000030010000}"/>
    <hyperlink ref="D181" r:id="rId306" xr:uid="{00000000-0004-0000-0800-000031010000}"/>
    <hyperlink ref="H182" r:id="rId307" xr:uid="{00000000-0004-0000-0800-000032010000}"/>
    <hyperlink ref="H183" r:id="rId308" xr:uid="{00000000-0004-0000-0800-000033010000}"/>
    <hyperlink ref="D184" r:id="rId309" xr:uid="{00000000-0004-0000-0800-000034010000}"/>
    <hyperlink ref="D185" r:id="rId310" xr:uid="{00000000-0004-0000-0800-000035010000}"/>
    <hyperlink ref="D186" r:id="rId311" xr:uid="{00000000-0004-0000-0800-000036010000}"/>
    <hyperlink ref="D187" r:id="rId312" xr:uid="{00000000-0004-0000-0800-000037010000}"/>
    <hyperlink ref="D188" r:id="rId313" xr:uid="{00000000-0004-0000-0800-000038010000}"/>
    <hyperlink ref="D189" r:id="rId314" xr:uid="{00000000-0004-0000-0800-000039010000}"/>
    <hyperlink ref="H189" r:id="rId315" xr:uid="{00000000-0004-0000-0800-00003A010000}"/>
    <hyperlink ref="N189" r:id="rId316" xr:uid="{00000000-0004-0000-0800-00003B010000}"/>
    <hyperlink ref="D190" r:id="rId317" xr:uid="{00000000-0004-0000-0800-00003C010000}"/>
    <hyperlink ref="H190" r:id="rId318" xr:uid="{00000000-0004-0000-0800-00003D010000}"/>
    <hyperlink ref="N190" r:id="rId319" xr:uid="{00000000-0004-0000-0800-00003E010000}"/>
    <hyperlink ref="D191" r:id="rId320" xr:uid="{00000000-0004-0000-0800-00003F010000}"/>
    <hyperlink ref="N191" r:id="rId321" xr:uid="{00000000-0004-0000-0800-000040010000}"/>
    <hyperlink ref="D192" r:id="rId322" xr:uid="{00000000-0004-0000-0800-000041010000}"/>
    <hyperlink ref="N192" r:id="rId323" xr:uid="{00000000-0004-0000-0800-000042010000}"/>
    <hyperlink ref="D193" r:id="rId324" xr:uid="{00000000-0004-0000-0800-000043010000}"/>
    <hyperlink ref="D194" r:id="rId325" xr:uid="{00000000-0004-0000-0800-000044010000}"/>
    <hyperlink ref="D195" r:id="rId326" xr:uid="{00000000-0004-0000-0800-000045010000}"/>
    <hyperlink ref="D196" r:id="rId327" xr:uid="{00000000-0004-0000-0800-000046010000}"/>
    <hyperlink ref="D197" r:id="rId328" xr:uid="{00000000-0004-0000-0800-000047010000}"/>
    <hyperlink ref="D198" r:id="rId329" xr:uid="{00000000-0004-0000-0800-000048010000}"/>
    <hyperlink ref="H198" r:id="rId330" xr:uid="{00000000-0004-0000-0800-000049010000}"/>
    <hyperlink ref="N198" r:id="rId331" xr:uid="{00000000-0004-0000-0800-00004A010000}"/>
    <hyperlink ref="D199" r:id="rId332" xr:uid="{00000000-0004-0000-0800-00004B010000}"/>
    <hyperlink ref="H199" r:id="rId333" xr:uid="{00000000-0004-0000-0800-00004C010000}"/>
    <hyperlink ref="N199" r:id="rId334" xr:uid="{00000000-0004-0000-0800-00004D010000}"/>
    <hyperlink ref="D200" r:id="rId335" xr:uid="{00000000-0004-0000-0800-00004E010000}"/>
    <hyperlink ref="H200" r:id="rId336" xr:uid="{00000000-0004-0000-0800-00004F010000}"/>
    <hyperlink ref="N200" r:id="rId337" xr:uid="{00000000-0004-0000-0800-000050010000}"/>
    <hyperlink ref="D202" r:id="rId338" xr:uid="{00000000-0004-0000-0800-000051010000}"/>
    <hyperlink ref="D203" r:id="rId339" xr:uid="{00000000-0004-0000-0800-000052010000}"/>
    <hyperlink ref="H203" r:id="rId340" xr:uid="{00000000-0004-0000-0800-000053010000}"/>
    <hyperlink ref="N203" r:id="rId341" xr:uid="{00000000-0004-0000-0800-000054010000}"/>
    <hyperlink ref="D204" r:id="rId342" xr:uid="{00000000-0004-0000-0800-000055010000}"/>
    <hyperlink ref="D205" r:id="rId343" xr:uid="{00000000-0004-0000-0800-000056010000}"/>
    <hyperlink ref="D207" r:id="rId344" xr:uid="{00000000-0004-0000-0800-000057010000}"/>
    <hyperlink ref="N208" r:id="rId345" xr:uid="{00000000-0004-0000-0800-000058010000}"/>
    <hyperlink ref="D210" r:id="rId346" xr:uid="{00000000-0004-0000-0800-000059010000}"/>
    <hyperlink ref="D211" r:id="rId347" xr:uid="{00000000-0004-0000-0800-00005A010000}"/>
    <hyperlink ref="D212" r:id="rId348" xr:uid="{00000000-0004-0000-0800-00005B010000}"/>
    <hyperlink ref="N212" r:id="rId349" xr:uid="{00000000-0004-0000-0800-00005C010000}"/>
    <hyperlink ref="D213" r:id="rId350" xr:uid="{00000000-0004-0000-0800-00005D010000}"/>
    <hyperlink ref="N213" r:id="rId351" xr:uid="{00000000-0004-0000-0800-00005E010000}"/>
    <hyperlink ref="D214" r:id="rId352" xr:uid="{00000000-0004-0000-0800-00005F010000}"/>
    <hyperlink ref="H214" r:id="rId353" xr:uid="{00000000-0004-0000-0800-000060010000}"/>
    <hyperlink ref="N214" r:id="rId354" xr:uid="{00000000-0004-0000-0800-000061010000}"/>
    <hyperlink ref="H215" r:id="rId355" xr:uid="{00000000-0004-0000-0800-000062010000}"/>
    <hyperlink ref="N215" r:id="rId356" xr:uid="{00000000-0004-0000-0800-000063010000}"/>
    <hyperlink ref="H216" r:id="rId357" xr:uid="{00000000-0004-0000-0800-000064010000}"/>
    <hyperlink ref="D217" r:id="rId358" xr:uid="{00000000-0004-0000-0800-000065010000}"/>
    <hyperlink ref="H217" r:id="rId359" xr:uid="{00000000-0004-0000-0800-000066010000}"/>
    <hyperlink ref="N217" r:id="rId360" xr:uid="{00000000-0004-0000-0800-000067010000}"/>
    <hyperlink ref="D218" r:id="rId361" xr:uid="{00000000-0004-0000-0800-000068010000}"/>
    <hyperlink ref="H219" r:id="rId362" xr:uid="{00000000-0004-0000-0800-000069010000}"/>
    <hyperlink ref="N220" r:id="rId363" xr:uid="{00000000-0004-0000-0800-00006A010000}"/>
    <hyperlink ref="H223" r:id="rId364" xr:uid="{00000000-0004-0000-0800-00006B010000}"/>
    <hyperlink ref="D224" r:id="rId365" xr:uid="{00000000-0004-0000-0800-00006C010000}"/>
    <hyperlink ref="H224" r:id="rId366" xr:uid="{00000000-0004-0000-0800-00006D010000}"/>
    <hyperlink ref="D225" r:id="rId367" xr:uid="{00000000-0004-0000-0800-00006E010000}"/>
    <hyperlink ref="N225" r:id="rId368" xr:uid="{00000000-0004-0000-0800-00006F010000}"/>
    <hyperlink ref="D226" r:id="rId369" xr:uid="{00000000-0004-0000-0800-000070010000}"/>
    <hyperlink ref="N226" r:id="rId370" xr:uid="{00000000-0004-0000-0800-000071010000}"/>
    <hyperlink ref="D227" r:id="rId371" xr:uid="{00000000-0004-0000-0800-000072010000}"/>
    <hyperlink ref="H228" r:id="rId372" xr:uid="{00000000-0004-0000-0800-000073010000}"/>
    <hyperlink ref="N228" r:id="rId373" xr:uid="{00000000-0004-0000-0800-000074010000}"/>
    <hyperlink ref="D229" r:id="rId374" xr:uid="{00000000-0004-0000-0800-000075010000}"/>
    <hyperlink ref="D230" r:id="rId375" xr:uid="{00000000-0004-0000-0800-000076010000}"/>
    <hyperlink ref="H231" r:id="rId376" xr:uid="{00000000-0004-0000-0800-000077010000}"/>
    <hyperlink ref="H232" r:id="rId377" xr:uid="{00000000-0004-0000-0800-000078010000}"/>
    <hyperlink ref="N232" r:id="rId378" xr:uid="{00000000-0004-0000-0800-000079010000}"/>
    <hyperlink ref="D234" r:id="rId379" xr:uid="{00000000-0004-0000-0800-00007A010000}"/>
    <hyperlink ref="N234" r:id="rId380" xr:uid="{00000000-0004-0000-0800-00007B010000}"/>
    <hyperlink ref="H235" r:id="rId381" xr:uid="{00000000-0004-0000-0800-00007C010000}"/>
    <hyperlink ref="N236" r:id="rId382" xr:uid="{00000000-0004-0000-0800-00007D010000}"/>
    <hyperlink ref="H237" r:id="rId383" xr:uid="{00000000-0004-0000-0800-00007E010000}"/>
    <hyperlink ref="H238" r:id="rId384" xr:uid="{00000000-0004-0000-0800-00007F010000}"/>
    <hyperlink ref="H239" r:id="rId385" xr:uid="{00000000-0004-0000-0800-000080010000}"/>
    <hyperlink ref="H240" r:id="rId386" xr:uid="{00000000-0004-0000-0800-000081010000}"/>
    <hyperlink ref="C241" r:id="rId387" xr:uid="{00000000-0004-0000-0800-000082010000}"/>
    <hyperlink ref="D241" r:id="rId388" xr:uid="{00000000-0004-0000-0800-000083010000}"/>
    <hyperlink ref="D243" r:id="rId389" xr:uid="{00000000-0004-0000-0800-000084010000}"/>
    <hyperlink ref="D244" r:id="rId390" xr:uid="{00000000-0004-0000-0800-000085010000}"/>
    <hyperlink ref="D245" r:id="rId391" xr:uid="{00000000-0004-0000-0800-000086010000}"/>
    <hyperlink ref="D246" r:id="rId392" xr:uid="{00000000-0004-0000-0800-000087010000}"/>
  </hyperlinks>
  <pageMargins left="0.7" right="0.7" top="0.75" bottom="0.75" header="0.3" footer="0.3"/>
  <tableParts count="28"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31"/>
  <sheetViews>
    <sheetView workbookViewId="0"/>
  </sheetViews>
  <sheetFormatPr baseColWidth="10" defaultColWidth="12.6640625" defaultRowHeight="15.75" customHeight="1"/>
  <cols>
    <col min="1" max="1" width="23.1640625" customWidth="1"/>
    <col min="2" max="2" width="20.33203125" customWidth="1"/>
    <col min="3" max="3" width="28.83203125" customWidth="1"/>
    <col min="4" max="4" width="33.1640625" customWidth="1"/>
    <col min="5" max="5" width="17.5" customWidth="1"/>
    <col min="6" max="6" width="13.83203125" customWidth="1"/>
    <col min="7" max="7" width="18.33203125" customWidth="1"/>
    <col min="8" max="8" width="8.83203125" customWidth="1"/>
    <col min="9" max="9" width="9.6640625" customWidth="1"/>
    <col min="10" max="10" width="10.6640625" customWidth="1"/>
    <col min="11" max="11" width="11.1640625" customWidth="1"/>
    <col min="12" max="12" width="17.6640625" customWidth="1"/>
    <col min="13" max="13" width="12.5" customWidth="1"/>
    <col min="14" max="14" width="12" customWidth="1"/>
    <col min="15" max="15" width="14.6640625" customWidth="1"/>
    <col min="16" max="28" width="60.6640625" customWidth="1"/>
  </cols>
  <sheetData>
    <row r="1" spans="1:28" ht="37.5" customHeight="1">
      <c r="A1" s="154" t="s">
        <v>673</v>
      </c>
      <c r="B1" s="155" t="s">
        <v>375</v>
      </c>
      <c r="C1" s="114" t="s">
        <v>376</v>
      </c>
      <c r="D1" s="156" t="s">
        <v>377</v>
      </c>
      <c r="E1" s="156" t="s">
        <v>21</v>
      </c>
      <c r="F1" s="158" t="s">
        <v>378</v>
      </c>
      <c r="G1" s="17" t="s">
        <v>45</v>
      </c>
      <c r="H1" s="17" t="s">
        <v>48</v>
      </c>
      <c r="I1" s="17" t="s">
        <v>49</v>
      </c>
      <c r="J1" s="17" t="s">
        <v>50</v>
      </c>
      <c r="K1" s="17" t="s">
        <v>52</v>
      </c>
      <c r="L1" s="26" t="s">
        <v>61</v>
      </c>
      <c r="M1" s="26" t="s">
        <v>64</v>
      </c>
      <c r="N1" s="26" t="s">
        <v>65</v>
      </c>
      <c r="O1" s="26" t="s">
        <v>66</v>
      </c>
      <c r="P1" s="6" t="s">
        <v>275</v>
      </c>
    </row>
    <row r="2" spans="1:28" ht="16.5" customHeight="1">
      <c r="A2" s="289" t="s">
        <v>393</v>
      </c>
      <c r="B2" s="290">
        <v>821096152410</v>
      </c>
      <c r="C2" s="292" t="s">
        <v>677</v>
      </c>
      <c r="D2" s="293"/>
      <c r="E2" s="294">
        <v>46109</v>
      </c>
      <c r="F2" s="293" t="b">
        <v>1</v>
      </c>
      <c r="G2" s="59" t="s">
        <v>399</v>
      </c>
      <c r="H2" s="368">
        <v>1766</v>
      </c>
      <c r="I2" s="368">
        <v>55</v>
      </c>
      <c r="J2" s="368">
        <v>6</v>
      </c>
      <c r="K2" s="368">
        <v>15</v>
      </c>
      <c r="L2" s="183"/>
      <c r="M2" s="183"/>
      <c r="N2" s="183"/>
      <c r="O2" s="298"/>
      <c r="P2" s="41" t="s">
        <v>392</v>
      </c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ht="13">
      <c r="A3" s="104" t="s">
        <v>682</v>
      </c>
      <c r="B3" s="175">
        <v>1067976527</v>
      </c>
      <c r="C3" s="183"/>
      <c r="D3" s="263" t="s">
        <v>683</v>
      </c>
      <c r="E3" s="294">
        <v>46109</v>
      </c>
      <c r="F3" s="41" t="b">
        <v>1</v>
      </c>
      <c r="G3" s="299" t="s">
        <v>404</v>
      </c>
      <c r="H3" s="41"/>
      <c r="I3" s="41"/>
      <c r="J3" s="41"/>
      <c r="K3" s="41"/>
      <c r="L3" s="202" t="s">
        <v>689</v>
      </c>
      <c r="M3" s="90">
        <v>1156</v>
      </c>
      <c r="N3" s="90">
        <v>25</v>
      </c>
      <c r="O3" s="90">
        <v>0</v>
      </c>
      <c r="P3" s="41" t="s">
        <v>690</v>
      </c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28" ht="13">
      <c r="A4" s="301" t="s">
        <v>405</v>
      </c>
      <c r="B4" s="175">
        <v>1077479556</v>
      </c>
      <c r="C4" s="263" t="s">
        <v>691</v>
      </c>
      <c r="D4" s="183"/>
      <c r="E4" s="294">
        <v>46109</v>
      </c>
      <c r="F4" s="41" t="b">
        <v>1</v>
      </c>
      <c r="G4" s="202" t="s">
        <v>409</v>
      </c>
      <c r="H4" s="90">
        <v>305</v>
      </c>
      <c r="I4" s="90">
        <v>9</v>
      </c>
      <c r="J4" s="90">
        <v>2</v>
      </c>
      <c r="K4" s="90">
        <v>1</v>
      </c>
      <c r="L4" s="137" t="s">
        <v>697</v>
      </c>
      <c r="M4" s="90">
        <v>513</v>
      </c>
      <c r="N4" s="41"/>
      <c r="O4" s="41"/>
      <c r="P4" s="41" t="s">
        <v>699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13">
      <c r="A5" s="301" t="s">
        <v>410</v>
      </c>
      <c r="B5" s="175">
        <v>1030227630</v>
      </c>
      <c r="C5" s="263" t="s">
        <v>700</v>
      </c>
      <c r="D5" s="183"/>
      <c r="E5" s="306">
        <v>46109</v>
      </c>
      <c r="F5" s="307" t="b">
        <v>1</v>
      </c>
      <c r="G5" s="137" t="s">
        <v>415</v>
      </c>
      <c r="H5" s="310">
        <v>2902</v>
      </c>
      <c r="I5" s="310">
        <v>96</v>
      </c>
      <c r="J5" s="90">
        <v>2</v>
      </c>
      <c r="K5" s="90">
        <v>44</v>
      </c>
      <c r="L5" s="41"/>
      <c r="M5" s="41"/>
      <c r="N5" s="41"/>
      <c r="O5" s="41"/>
      <c r="P5" s="41" t="s">
        <v>715</v>
      </c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8" ht="13">
      <c r="A6" s="107" t="s">
        <v>416</v>
      </c>
      <c r="B6" s="312">
        <v>2183680751</v>
      </c>
      <c r="C6" s="207" t="s">
        <v>716</v>
      </c>
      <c r="D6" s="207" t="s">
        <v>719</v>
      </c>
      <c r="E6" s="163">
        <v>46110</v>
      </c>
      <c r="F6" s="41" t="b">
        <v>1</v>
      </c>
      <c r="G6" s="202" t="s">
        <v>421</v>
      </c>
      <c r="H6" s="90">
        <v>2216</v>
      </c>
      <c r="I6" s="90">
        <v>113</v>
      </c>
      <c r="J6" s="90">
        <v>5</v>
      </c>
      <c r="K6" s="90">
        <v>57</v>
      </c>
      <c r="L6" s="41"/>
      <c r="M6" s="41"/>
      <c r="N6" s="41"/>
      <c r="O6" s="41"/>
      <c r="P6" s="41" t="s">
        <v>726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28" ht="13">
      <c r="A7" s="108" t="s">
        <v>728</v>
      </c>
      <c r="B7" s="89">
        <v>1092946599</v>
      </c>
      <c r="C7" s="41"/>
      <c r="D7" s="198" t="s">
        <v>729</v>
      </c>
      <c r="E7" s="324">
        <v>46111</v>
      </c>
      <c r="F7" s="41" t="b">
        <v>1</v>
      </c>
      <c r="G7" s="202" t="s">
        <v>427</v>
      </c>
      <c r="H7" s="90">
        <v>151</v>
      </c>
      <c r="I7" s="90">
        <v>3</v>
      </c>
      <c r="J7" s="90">
        <v>0</v>
      </c>
      <c r="K7" s="90">
        <v>1</v>
      </c>
      <c r="L7" s="137" t="s">
        <v>732</v>
      </c>
      <c r="M7" s="90">
        <v>8271</v>
      </c>
      <c r="N7" s="90">
        <v>748</v>
      </c>
      <c r="O7" s="90">
        <v>7</v>
      </c>
      <c r="P7" s="41" t="s">
        <v>737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8" ht="13">
      <c r="A8" s="108" t="s">
        <v>428</v>
      </c>
      <c r="B8" s="89" t="s">
        <v>738</v>
      </c>
      <c r="C8" s="198" t="s">
        <v>740</v>
      </c>
      <c r="D8" s="198" t="s">
        <v>741</v>
      </c>
      <c r="E8" s="324">
        <v>46112</v>
      </c>
      <c r="F8" s="41" t="b">
        <v>1</v>
      </c>
      <c r="G8" s="167" t="s">
        <v>431</v>
      </c>
      <c r="H8" s="41">
        <v>309</v>
      </c>
      <c r="I8" s="41">
        <v>12</v>
      </c>
      <c r="J8" s="41">
        <v>0</v>
      </c>
      <c r="K8" s="41">
        <v>3</v>
      </c>
      <c r="L8" s="167" t="s">
        <v>746</v>
      </c>
      <c r="M8" s="41">
        <v>30000</v>
      </c>
      <c r="N8" s="41"/>
      <c r="O8" s="41"/>
      <c r="P8" s="41" t="s">
        <v>392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ht="13">
      <c r="A9" s="301" t="s">
        <v>434</v>
      </c>
      <c r="B9" s="175">
        <v>1079370772</v>
      </c>
      <c r="C9" s="263" t="s">
        <v>748</v>
      </c>
      <c r="D9" s="263" t="s">
        <v>751</v>
      </c>
      <c r="E9" s="188">
        <v>46115</v>
      </c>
      <c r="F9" s="41" t="b">
        <v>1</v>
      </c>
      <c r="G9" s="202" t="s">
        <v>437</v>
      </c>
      <c r="H9" s="41">
        <v>719</v>
      </c>
      <c r="I9" s="90">
        <v>55</v>
      </c>
      <c r="J9" s="90">
        <v>11</v>
      </c>
      <c r="K9" s="90">
        <v>3</v>
      </c>
      <c r="L9" s="41"/>
      <c r="M9" s="41"/>
      <c r="N9" s="41"/>
      <c r="O9" s="41"/>
      <c r="P9" s="41" t="s">
        <v>752</v>
      </c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spans="1:28" ht="13">
      <c r="A10" s="301" t="s">
        <v>438</v>
      </c>
      <c r="B10" s="175">
        <v>1095946760</v>
      </c>
      <c r="C10" s="330" t="s">
        <v>754</v>
      </c>
      <c r="D10" s="183"/>
      <c r="E10" s="324">
        <v>46116</v>
      </c>
      <c r="F10" s="41" t="b">
        <v>1</v>
      </c>
      <c r="G10" s="167" t="s">
        <v>443</v>
      </c>
      <c r="H10" s="41">
        <v>421</v>
      </c>
      <c r="I10" s="41">
        <v>13</v>
      </c>
      <c r="J10" s="41">
        <v>1</v>
      </c>
      <c r="K10" s="41"/>
      <c r="L10" s="167" t="s">
        <v>755</v>
      </c>
      <c r="M10" s="41">
        <v>292</v>
      </c>
      <c r="N10" s="41">
        <v>13</v>
      </c>
      <c r="O10" s="41">
        <v>2</v>
      </c>
      <c r="P10" s="41" t="s">
        <v>392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28" ht="13">
      <c r="A11" s="179" t="s">
        <v>445</v>
      </c>
      <c r="B11" s="89">
        <v>1044682869</v>
      </c>
      <c r="C11" s="198" t="s">
        <v>759</v>
      </c>
      <c r="D11" s="198"/>
      <c r="E11" s="331">
        <v>46117</v>
      </c>
      <c r="F11" s="41" t="b">
        <v>1</v>
      </c>
      <c r="G11" s="202" t="s">
        <v>448</v>
      </c>
      <c r="H11" s="165">
        <v>942</v>
      </c>
      <c r="I11" s="41">
        <v>77</v>
      </c>
      <c r="J11" s="165">
        <v>2</v>
      </c>
      <c r="K11" s="202"/>
      <c r="L11" s="202" t="s">
        <v>766</v>
      </c>
      <c r="M11" s="41">
        <v>2306</v>
      </c>
      <c r="N11" s="41">
        <v>82</v>
      </c>
      <c r="O11" s="165">
        <v>3</v>
      </c>
      <c r="P11" s="113" t="s">
        <v>768</v>
      </c>
      <c r="Q11" s="41"/>
      <c r="R11" s="41"/>
      <c r="S11" s="41" t="s">
        <v>768</v>
      </c>
      <c r="T11" s="41"/>
      <c r="U11" s="41"/>
      <c r="V11" s="41"/>
      <c r="W11" s="41"/>
      <c r="X11" s="41"/>
      <c r="Y11" s="41"/>
      <c r="Z11" s="41"/>
      <c r="AA11" s="41"/>
      <c r="AB11" s="41"/>
    </row>
    <row r="12" spans="1:28" ht="13">
      <c r="A12" s="134" t="s">
        <v>449</v>
      </c>
      <c r="B12" s="312" t="s">
        <v>769</v>
      </c>
      <c r="C12" s="367" t="s">
        <v>770</v>
      </c>
      <c r="D12" s="367" t="s">
        <v>771</v>
      </c>
      <c r="E12" s="324">
        <v>46141</v>
      </c>
      <c r="F12" s="41" t="b">
        <v>1</v>
      </c>
      <c r="G12" s="167" t="s">
        <v>453</v>
      </c>
      <c r="H12" s="41">
        <v>9070</v>
      </c>
      <c r="I12" s="41">
        <v>839</v>
      </c>
      <c r="J12" s="41">
        <v>5</v>
      </c>
      <c r="K12" s="41">
        <v>29</v>
      </c>
      <c r="L12" s="41"/>
      <c r="M12" s="41"/>
      <c r="N12" s="41"/>
      <c r="O12" s="41"/>
      <c r="P12" s="41" t="s">
        <v>392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28" ht="13">
      <c r="A13" s="139" t="s">
        <v>454</v>
      </c>
      <c r="B13" s="338" t="s">
        <v>776</v>
      </c>
      <c r="C13" s="99" t="s">
        <v>777</v>
      </c>
      <c r="D13" s="371" t="s">
        <v>781</v>
      </c>
      <c r="E13" s="373">
        <v>46142</v>
      </c>
      <c r="F13" s="41" t="b">
        <v>1</v>
      </c>
      <c r="G13" s="167" t="s">
        <v>459</v>
      </c>
      <c r="H13" s="41">
        <v>505</v>
      </c>
      <c r="I13" s="41">
        <v>40</v>
      </c>
      <c r="J13" s="41">
        <v>6</v>
      </c>
      <c r="K13" s="41"/>
      <c r="L13" s="167" t="s">
        <v>784</v>
      </c>
      <c r="M13" s="41">
        <v>605</v>
      </c>
      <c r="N13" s="41">
        <v>27</v>
      </c>
      <c r="O13" s="41">
        <v>2</v>
      </c>
      <c r="P13" s="41" t="s">
        <v>392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28" ht="13">
      <c r="A14" s="375" t="s">
        <v>466</v>
      </c>
      <c r="B14" s="376" t="s">
        <v>785</v>
      </c>
      <c r="C14" s="343"/>
      <c r="D14" s="348" t="s">
        <v>787</v>
      </c>
      <c r="E14" s="347">
        <v>46143</v>
      </c>
      <c r="F14" s="41" t="b">
        <v>1</v>
      </c>
      <c r="G14" s="39" t="s">
        <v>392</v>
      </c>
      <c r="H14" s="39" t="s">
        <v>392</v>
      </c>
      <c r="I14" s="39" t="s">
        <v>392</v>
      </c>
      <c r="J14" s="39" t="s">
        <v>392</v>
      </c>
      <c r="K14" s="39" t="s">
        <v>392</v>
      </c>
      <c r="L14" s="350" t="s">
        <v>470</v>
      </c>
      <c r="M14" s="41">
        <v>828</v>
      </c>
      <c r="N14" s="41">
        <v>32</v>
      </c>
      <c r="O14" s="41">
        <v>0</v>
      </c>
      <c r="P14" s="41" t="s">
        <v>392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ht="13">
      <c r="A15" s="179" t="s">
        <v>790</v>
      </c>
      <c r="B15" s="179">
        <v>1065355755</v>
      </c>
      <c r="C15" s="367" t="s">
        <v>791</v>
      </c>
      <c r="D15" s="409" t="s">
        <v>792</v>
      </c>
      <c r="E15" s="353" t="s">
        <v>793</v>
      </c>
      <c r="F15" s="41" t="b">
        <v>1</v>
      </c>
      <c r="G15" s="350" t="s">
        <v>476</v>
      </c>
      <c r="H15" s="41">
        <v>302</v>
      </c>
      <c r="I15" s="41">
        <v>12</v>
      </c>
      <c r="J15" s="41"/>
      <c r="K15" s="41"/>
      <c r="L15" s="350" t="s">
        <v>794</v>
      </c>
      <c r="M15" s="41">
        <v>598</v>
      </c>
      <c r="N15" s="41">
        <v>14</v>
      </c>
      <c r="O15" s="41">
        <v>4</v>
      </c>
      <c r="P15" s="41" t="s">
        <v>797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ht="13">
      <c r="A16" s="179" t="s">
        <v>477</v>
      </c>
      <c r="B16" s="89" t="s">
        <v>798</v>
      </c>
      <c r="C16" s="367" t="s">
        <v>799</v>
      </c>
      <c r="D16" s="367" t="s">
        <v>800</v>
      </c>
      <c r="E16" s="353" t="s">
        <v>801</v>
      </c>
      <c r="F16" s="41" t="b">
        <v>1</v>
      </c>
      <c r="G16" s="167" t="s">
        <v>482</v>
      </c>
      <c r="H16" s="41">
        <v>286</v>
      </c>
      <c r="I16" s="41">
        <v>6</v>
      </c>
      <c r="J16" s="41"/>
      <c r="K16" s="41"/>
      <c r="L16" s="167" t="s">
        <v>802</v>
      </c>
      <c r="M16" s="41">
        <v>392</v>
      </c>
      <c r="N16" s="41">
        <v>11</v>
      </c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ht="13">
      <c r="A17" s="104" t="s">
        <v>188</v>
      </c>
      <c r="B17" s="160">
        <f>821073041480</f>
        <v>821073041480</v>
      </c>
      <c r="C17" s="41"/>
      <c r="D17" s="162" t="s">
        <v>383</v>
      </c>
      <c r="E17" s="163">
        <v>46116</v>
      </c>
      <c r="F17" s="164" t="b">
        <v>1</v>
      </c>
      <c r="G17" s="165" t="s">
        <v>194</v>
      </c>
      <c r="H17" s="90">
        <v>311</v>
      </c>
      <c r="I17" s="90">
        <v>6</v>
      </c>
      <c r="J17" s="90">
        <v>0</v>
      </c>
      <c r="K17" s="90">
        <v>1</v>
      </c>
      <c r="L17" s="167" t="s">
        <v>389</v>
      </c>
      <c r="M17" s="90">
        <v>77</v>
      </c>
      <c r="N17" s="90">
        <v>5</v>
      </c>
      <c r="O17" s="90">
        <v>2</v>
      </c>
      <c r="P17" s="41" t="s">
        <v>392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ht="13">
      <c r="A18" s="105" t="s">
        <v>195</v>
      </c>
      <c r="B18" s="171">
        <v>821056818868</v>
      </c>
      <c r="C18" s="173" t="s">
        <v>456</v>
      </c>
      <c r="D18" s="174"/>
      <c r="E18" s="176">
        <v>46117</v>
      </c>
      <c r="F18" s="178" t="b">
        <v>1</v>
      </c>
      <c r="G18" s="180" t="s">
        <v>202</v>
      </c>
      <c r="H18" s="89">
        <v>990</v>
      </c>
      <c r="I18" s="90">
        <v>21</v>
      </c>
      <c r="J18" s="41"/>
      <c r="K18" s="41"/>
      <c r="L18" s="138" t="s">
        <v>464</v>
      </c>
      <c r="M18" s="90">
        <v>1757</v>
      </c>
      <c r="N18" s="41"/>
      <c r="O18" s="41">
        <v>4</v>
      </c>
      <c r="P18" s="41" t="s">
        <v>471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ht="13">
      <c r="A19" s="107" t="s">
        <v>203</v>
      </c>
      <c r="B19" s="184">
        <v>821024212507</v>
      </c>
      <c r="C19" s="185"/>
      <c r="D19" s="394" t="s">
        <v>481</v>
      </c>
      <c r="E19" s="188">
        <v>46118</v>
      </c>
      <c r="F19" s="164" t="b">
        <v>1</v>
      </c>
      <c r="G19" s="190" t="s">
        <v>209</v>
      </c>
      <c r="H19" s="191">
        <v>418</v>
      </c>
      <c r="I19" s="191">
        <v>22</v>
      </c>
      <c r="J19" s="191">
        <v>6</v>
      </c>
      <c r="K19" s="191">
        <v>2</v>
      </c>
      <c r="L19" s="138" t="s">
        <v>497</v>
      </c>
      <c r="M19" s="191">
        <v>497</v>
      </c>
      <c r="N19" s="191">
        <v>39</v>
      </c>
      <c r="O19" s="195">
        <v>29</v>
      </c>
      <c r="P19" s="196" t="s">
        <v>508</v>
      </c>
      <c r="Q19" s="196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ht="13">
      <c r="A20" s="108" t="s">
        <v>211</v>
      </c>
      <c r="B20" s="197">
        <v>821029986726</v>
      </c>
      <c r="C20" s="198" t="s">
        <v>517</v>
      </c>
      <c r="D20" s="199"/>
      <c r="E20" s="163">
        <v>46118</v>
      </c>
      <c r="F20" s="164" t="b">
        <v>1</v>
      </c>
      <c r="G20" s="202" t="s">
        <v>216</v>
      </c>
      <c r="H20" s="90">
        <v>833</v>
      </c>
      <c r="I20" s="90">
        <v>34</v>
      </c>
      <c r="J20" s="90">
        <v>0</v>
      </c>
      <c r="K20" s="90">
        <v>5</v>
      </c>
      <c r="L20" s="38"/>
      <c r="M20" s="90"/>
      <c r="N20" s="90"/>
      <c r="O20" s="90"/>
      <c r="P20" s="41" t="s">
        <v>534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ht="13">
      <c r="A21" s="109" t="s">
        <v>219</v>
      </c>
      <c r="B21" s="184">
        <v>821026554490</v>
      </c>
      <c r="C21" s="259" t="s">
        <v>535</v>
      </c>
      <c r="D21" s="399" t="s">
        <v>537</v>
      </c>
      <c r="E21" s="163">
        <v>46119</v>
      </c>
      <c r="F21" s="39" t="b">
        <v>1</v>
      </c>
      <c r="G21" s="190" t="s">
        <v>224</v>
      </c>
      <c r="H21" s="90">
        <v>538</v>
      </c>
      <c r="I21" s="90">
        <v>27</v>
      </c>
      <c r="J21" s="90">
        <v>3</v>
      </c>
      <c r="K21" s="90">
        <v>8</v>
      </c>
      <c r="L21" s="202" t="s">
        <v>549</v>
      </c>
      <c r="M21" s="90">
        <v>378</v>
      </c>
      <c r="N21" s="90">
        <v>22</v>
      </c>
      <c r="O21" s="90">
        <v>3</v>
      </c>
      <c r="P21" s="41" t="s">
        <v>552</v>
      </c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13">
      <c r="A22" s="108" t="s">
        <v>554</v>
      </c>
      <c r="B22" s="197">
        <f>821067846312</f>
        <v>821067846312</v>
      </c>
      <c r="C22" s="41"/>
      <c r="D22" s="213" t="s">
        <v>555</v>
      </c>
      <c r="E22" s="163">
        <v>46120</v>
      </c>
      <c r="F22" s="164" t="b">
        <v>1</v>
      </c>
      <c r="G22" s="202" t="s">
        <v>231</v>
      </c>
      <c r="H22" s="90">
        <v>2085</v>
      </c>
      <c r="I22" s="90">
        <v>97</v>
      </c>
      <c r="J22" s="90">
        <v>3</v>
      </c>
      <c r="K22" s="90">
        <v>30</v>
      </c>
      <c r="L22" s="202" t="s">
        <v>558</v>
      </c>
      <c r="M22" s="90">
        <v>1580</v>
      </c>
      <c r="N22" s="90">
        <v>58</v>
      </c>
      <c r="O22" s="90">
        <v>3</v>
      </c>
      <c r="P22" s="41" t="s">
        <v>392</v>
      </c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13">
      <c r="A23" s="108" t="s">
        <v>234</v>
      </c>
      <c r="B23" s="171">
        <f>821054548810</f>
        <v>821054548810</v>
      </c>
      <c r="C23" s="198" t="s">
        <v>568</v>
      </c>
      <c r="D23" s="199"/>
      <c r="E23" s="163">
        <v>46121</v>
      </c>
      <c r="F23" s="215" t="b">
        <v>1</v>
      </c>
      <c r="G23" s="216" t="s">
        <v>238</v>
      </c>
      <c r="H23" s="89">
        <v>2205</v>
      </c>
      <c r="I23" s="90">
        <v>61</v>
      </c>
      <c r="J23" s="90">
        <v>1</v>
      </c>
      <c r="K23" s="90">
        <v>31</v>
      </c>
      <c r="L23" s="41"/>
      <c r="M23" s="41"/>
      <c r="N23" s="41"/>
      <c r="O23" s="41"/>
      <c r="P23" s="41" t="s">
        <v>582</v>
      </c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ht="13">
      <c r="A24" s="104" t="s">
        <v>239</v>
      </c>
      <c r="B24" s="217" t="s">
        <v>584</v>
      </c>
      <c r="C24" s="379" t="s">
        <v>585</v>
      </c>
      <c r="D24" s="379" t="s">
        <v>588</v>
      </c>
      <c r="E24" s="382">
        <v>46122</v>
      </c>
      <c r="F24" s="39" t="b">
        <v>1</v>
      </c>
      <c r="G24" s="226" t="s">
        <v>244</v>
      </c>
      <c r="H24" s="41">
        <v>307</v>
      </c>
      <c r="I24" s="41">
        <v>16</v>
      </c>
      <c r="J24" s="41">
        <v>1</v>
      </c>
      <c r="K24" s="41">
        <v>2</v>
      </c>
      <c r="L24" s="167" t="s">
        <v>593</v>
      </c>
      <c r="M24" s="41">
        <v>574</v>
      </c>
      <c r="N24" s="41">
        <v>31</v>
      </c>
      <c r="O24" s="41">
        <v>6</v>
      </c>
      <c r="P24" s="41" t="s">
        <v>594</v>
      </c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ht="13">
      <c r="A25" s="111" t="s">
        <v>245</v>
      </c>
      <c r="B25" s="228">
        <v>821089393794</v>
      </c>
      <c r="C25" s="404" t="s">
        <v>595</v>
      </c>
      <c r="D25" s="405" t="s">
        <v>597</v>
      </c>
      <c r="E25" s="231">
        <v>46123</v>
      </c>
      <c r="F25" s="232" t="b">
        <v>1</v>
      </c>
      <c r="G25" s="234" t="s">
        <v>250</v>
      </c>
      <c r="H25" s="90">
        <v>979</v>
      </c>
      <c r="I25" s="90">
        <v>58</v>
      </c>
      <c r="J25" s="90">
        <v>3</v>
      </c>
      <c r="K25" s="90">
        <v>1</v>
      </c>
      <c r="L25" s="138" t="s">
        <v>603</v>
      </c>
      <c r="M25" s="90">
        <v>2413</v>
      </c>
      <c r="N25" s="41"/>
      <c r="O25" s="41"/>
      <c r="P25" s="41" t="s">
        <v>604</v>
      </c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spans="1:28" ht="13">
      <c r="A26" s="115" t="s">
        <v>606</v>
      </c>
      <c r="B26" s="179" t="s">
        <v>607</v>
      </c>
      <c r="C26" s="406" t="s">
        <v>609</v>
      </c>
      <c r="D26" s="377"/>
      <c r="E26" s="324">
        <v>46124</v>
      </c>
      <c r="F26" s="215" t="b">
        <v>1</v>
      </c>
      <c r="G26" s="245" t="s">
        <v>265</v>
      </c>
      <c r="H26" s="90">
        <v>284</v>
      </c>
      <c r="I26" s="90">
        <v>7</v>
      </c>
      <c r="J26" s="90">
        <v>0</v>
      </c>
      <c r="K26" s="90">
        <v>0</v>
      </c>
      <c r="L26" s="138" t="s">
        <v>611</v>
      </c>
      <c r="M26" s="90">
        <v>285</v>
      </c>
      <c r="N26" s="41">
        <v>24</v>
      </c>
      <c r="O26" s="41">
        <v>1</v>
      </c>
      <c r="P26" s="41" t="s">
        <v>392</v>
      </c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ht="13">
      <c r="A27" s="134" t="s">
        <v>288</v>
      </c>
      <c r="B27" s="246" t="s">
        <v>614</v>
      </c>
      <c r="C27" s="81" t="s">
        <v>615</v>
      </c>
      <c r="D27" s="380" t="s">
        <v>618</v>
      </c>
      <c r="E27" s="254">
        <v>46143</v>
      </c>
      <c r="F27" s="164" t="b">
        <v>1</v>
      </c>
      <c r="G27" s="407" t="s">
        <v>293</v>
      </c>
      <c r="H27" s="38">
        <v>339</v>
      </c>
      <c r="I27" s="38">
        <v>18</v>
      </c>
      <c r="J27" s="38">
        <v>5</v>
      </c>
      <c r="K27" s="38">
        <v>0</v>
      </c>
      <c r="L27" s="250" t="s">
        <v>999</v>
      </c>
      <c r="M27" s="38">
        <v>524</v>
      </c>
      <c r="N27" s="38">
        <v>25</v>
      </c>
      <c r="O27" s="38">
        <v>1</v>
      </c>
      <c r="P27" s="38" t="s">
        <v>392</v>
      </c>
      <c r="Q27" s="38"/>
      <c r="R27" s="38"/>
      <c r="AB27" s="41"/>
    </row>
    <row r="28" spans="1:28" ht="13">
      <c r="A28" s="134" t="s">
        <v>299</v>
      </c>
      <c r="B28" s="134" t="s">
        <v>624</v>
      </c>
      <c r="C28" s="81" t="s">
        <v>626</v>
      </c>
      <c r="D28" s="380" t="s">
        <v>628</v>
      </c>
      <c r="E28" s="254">
        <v>46146</v>
      </c>
      <c r="F28" s="39" t="b">
        <v>1</v>
      </c>
      <c r="G28" s="407" t="s">
        <v>303</v>
      </c>
      <c r="H28" s="38">
        <v>1047</v>
      </c>
      <c r="I28" s="38">
        <v>27</v>
      </c>
      <c r="J28" s="38">
        <v>0</v>
      </c>
      <c r="K28" s="38">
        <v>21</v>
      </c>
      <c r="L28" s="258" t="s">
        <v>634</v>
      </c>
      <c r="M28" s="38">
        <v>1133</v>
      </c>
      <c r="N28" s="38">
        <v>32</v>
      </c>
      <c r="O28" s="38">
        <v>6</v>
      </c>
      <c r="P28" s="38" t="s">
        <v>635</v>
      </c>
      <c r="Q28" s="38"/>
      <c r="R28" s="38"/>
    </row>
    <row r="29" spans="1:28" ht="13">
      <c r="A29" s="139" t="s">
        <v>636</v>
      </c>
      <c r="B29" s="260" t="s">
        <v>637</v>
      </c>
      <c r="C29" s="99" t="s">
        <v>638</v>
      </c>
      <c r="D29" s="371" t="s">
        <v>640</v>
      </c>
      <c r="E29" s="265">
        <v>46149</v>
      </c>
      <c r="F29" s="232" t="b">
        <v>1</v>
      </c>
      <c r="G29" s="407" t="s">
        <v>313</v>
      </c>
      <c r="H29" s="38">
        <v>1039</v>
      </c>
      <c r="I29" s="38">
        <v>42</v>
      </c>
      <c r="J29" s="38"/>
      <c r="K29" s="38">
        <v>10</v>
      </c>
      <c r="L29" s="250" t="s">
        <v>644</v>
      </c>
      <c r="M29" s="38">
        <v>1575</v>
      </c>
      <c r="N29" s="38">
        <v>134</v>
      </c>
      <c r="O29" s="38">
        <v>88</v>
      </c>
      <c r="P29" s="38"/>
      <c r="Q29" s="38"/>
      <c r="R29" s="38"/>
    </row>
    <row r="30" spans="1:28" ht="13">
      <c r="A30" s="6" t="s">
        <v>315</v>
      </c>
      <c r="B30" s="134" t="s">
        <v>648</v>
      </c>
      <c r="C30" s="443" t="s">
        <v>649</v>
      </c>
      <c r="D30" s="410" t="s">
        <v>655</v>
      </c>
      <c r="E30" s="411" t="s">
        <v>657</v>
      </c>
      <c r="F30" s="232" t="b">
        <v>1</v>
      </c>
      <c r="G30" s="444" t="s">
        <v>320</v>
      </c>
      <c r="H30" s="38">
        <v>2068</v>
      </c>
      <c r="I30" s="38">
        <v>90</v>
      </c>
      <c r="J30" s="38">
        <v>2</v>
      </c>
      <c r="K30" s="38">
        <v>7</v>
      </c>
      <c r="L30" s="38"/>
      <c r="M30" s="38"/>
      <c r="N30" s="38"/>
      <c r="O30" s="38"/>
      <c r="P30" s="38"/>
      <c r="Q30" s="38"/>
      <c r="R30" s="38"/>
    </row>
    <row r="31" spans="1:28" ht="13">
      <c r="A31" s="6" t="s">
        <v>323</v>
      </c>
      <c r="B31" s="271" t="s">
        <v>646</v>
      </c>
      <c r="C31" s="271"/>
      <c r="D31" s="445" t="s">
        <v>647</v>
      </c>
      <c r="E31" s="269">
        <v>46162</v>
      </c>
      <c r="F31" s="232" t="b">
        <v>0</v>
      </c>
      <c r="G31" s="444"/>
      <c r="L31" s="335" t="s">
        <v>328</v>
      </c>
      <c r="M31" s="57">
        <v>740</v>
      </c>
    </row>
  </sheetData>
  <phoneticPr fontId="251" type="noConversion"/>
  <hyperlinks>
    <hyperlink ref="C2" r:id="rId1" xr:uid="{00000000-0004-0000-0900-000000000000}"/>
    <hyperlink ref="G2" r:id="rId2" xr:uid="{00000000-0004-0000-0900-000001000000}"/>
    <hyperlink ref="D3" r:id="rId3" xr:uid="{00000000-0004-0000-0900-000002000000}"/>
    <hyperlink ref="G3" r:id="rId4" xr:uid="{00000000-0004-0000-0900-000003000000}"/>
    <hyperlink ref="L3" r:id="rId5" xr:uid="{00000000-0004-0000-0900-000004000000}"/>
    <hyperlink ref="C4" r:id="rId6" xr:uid="{00000000-0004-0000-0900-000005000000}"/>
    <hyperlink ref="G4" r:id="rId7" xr:uid="{00000000-0004-0000-0900-000006000000}"/>
    <hyperlink ref="L4" r:id="rId8" xr:uid="{00000000-0004-0000-0900-000007000000}"/>
    <hyperlink ref="C5" r:id="rId9" xr:uid="{00000000-0004-0000-0900-000008000000}"/>
    <hyperlink ref="G5" r:id="rId10" xr:uid="{00000000-0004-0000-0900-000009000000}"/>
    <hyperlink ref="C6" r:id="rId11" xr:uid="{00000000-0004-0000-0900-00000A000000}"/>
    <hyperlink ref="D6" r:id="rId12" xr:uid="{00000000-0004-0000-0900-00000B000000}"/>
    <hyperlink ref="G6" r:id="rId13" xr:uid="{00000000-0004-0000-0900-00000C000000}"/>
    <hyperlink ref="D7" r:id="rId14" xr:uid="{00000000-0004-0000-0900-00000D000000}"/>
    <hyperlink ref="G7" r:id="rId15" xr:uid="{00000000-0004-0000-0900-00000E000000}"/>
    <hyperlink ref="L7" r:id="rId16" xr:uid="{00000000-0004-0000-0900-00000F000000}"/>
    <hyperlink ref="C8" r:id="rId17" xr:uid="{00000000-0004-0000-0900-000010000000}"/>
    <hyperlink ref="D8" r:id="rId18" xr:uid="{00000000-0004-0000-0900-000011000000}"/>
    <hyperlink ref="G8" r:id="rId19" xr:uid="{00000000-0004-0000-0900-000012000000}"/>
    <hyperlink ref="L8" r:id="rId20" xr:uid="{00000000-0004-0000-0900-000013000000}"/>
    <hyperlink ref="C9" r:id="rId21" xr:uid="{00000000-0004-0000-0900-000014000000}"/>
    <hyperlink ref="D9" r:id="rId22" xr:uid="{00000000-0004-0000-0900-000015000000}"/>
    <hyperlink ref="G9" r:id="rId23" xr:uid="{00000000-0004-0000-0900-000016000000}"/>
    <hyperlink ref="C10" r:id="rId24" xr:uid="{00000000-0004-0000-0900-000017000000}"/>
    <hyperlink ref="G10" r:id="rId25" xr:uid="{00000000-0004-0000-0900-000018000000}"/>
    <hyperlink ref="L10" r:id="rId26" xr:uid="{00000000-0004-0000-0900-000019000000}"/>
    <hyperlink ref="C11" r:id="rId27" xr:uid="{00000000-0004-0000-0900-00001A000000}"/>
    <hyperlink ref="G11" r:id="rId28" xr:uid="{00000000-0004-0000-0900-00001B000000}"/>
    <hyperlink ref="L11" r:id="rId29" xr:uid="{00000000-0004-0000-0900-00001C000000}"/>
    <hyperlink ref="C12" r:id="rId30" xr:uid="{00000000-0004-0000-0900-00001D000000}"/>
    <hyperlink ref="D12" r:id="rId31" xr:uid="{00000000-0004-0000-0900-00001E000000}"/>
    <hyperlink ref="G12" r:id="rId32" xr:uid="{00000000-0004-0000-0900-00001F000000}"/>
    <hyperlink ref="C13" r:id="rId33" xr:uid="{00000000-0004-0000-0900-000020000000}"/>
    <hyperlink ref="D13" r:id="rId34" xr:uid="{00000000-0004-0000-0900-000021000000}"/>
    <hyperlink ref="G13" r:id="rId35" xr:uid="{00000000-0004-0000-0900-000022000000}"/>
    <hyperlink ref="L13" r:id="rId36" xr:uid="{00000000-0004-0000-0900-000023000000}"/>
    <hyperlink ref="D14" r:id="rId37" xr:uid="{00000000-0004-0000-0900-000024000000}"/>
    <hyperlink ref="L14" r:id="rId38" xr:uid="{00000000-0004-0000-0900-000025000000}"/>
    <hyperlink ref="C15" r:id="rId39" xr:uid="{00000000-0004-0000-0900-000026000000}"/>
    <hyperlink ref="D15" r:id="rId40" xr:uid="{00000000-0004-0000-0900-000027000000}"/>
    <hyperlink ref="G15" r:id="rId41" xr:uid="{00000000-0004-0000-0900-000028000000}"/>
    <hyperlink ref="L15" r:id="rId42" xr:uid="{00000000-0004-0000-0900-000029000000}"/>
    <hyperlink ref="C16" r:id="rId43" xr:uid="{00000000-0004-0000-0900-00002A000000}"/>
    <hyperlink ref="D16" r:id="rId44" xr:uid="{00000000-0004-0000-0900-00002B000000}"/>
    <hyperlink ref="G16" r:id="rId45" xr:uid="{00000000-0004-0000-0900-00002C000000}"/>
    <hyperlink ref="L16" r:id="rId46" xr:uid="{00000000-0004-0000-0900-00002D000000}"/>
    <hyperlink ref="D17" r:id="rId47" xr:uid="{00000000-0004-0000-0900-00002E000000}"/>
    <hyperlink ref="G17" r:id="rId48" xr:uid="{00000000-0004-0000-0900-00002F000000}"/>
    <hyperlink ref="L17" r:id="rId49" xr:uid="{00000000-0004-0000-0900-000030000000}"/>
    <hyperlink ref="C18" r:id="rId50" xr:uid="{00000000-0004-0000-0900-000031000000}"/>
    <hyperlink ref="G18" r:id="rId51" xr:uid="{00000000-0004-0000-0900-000032000000}"/>
    <hyperlink ref="L18" r:id="rId52" xr:uid="{00000000-0004-0000-0900-000033000000}"/>
    <hyperlink ref="D19" r:id="rId53" xr:uid="{00000000-0004-0000-0900-000034000000}"/>
    <hyperlink ref="G19" r:id="rId54" xr:uid="{00000000-0004-0000-0900-000035000000}"/>
    <hyperlink ref="L19" r:id="rId55" xr:uid="{00000000-0004-0000-0900-000036000000}"/>
    <hyperlink ref="C20" r:id="rId56" xr:uid="{00000000-0004-0000-0900-000037000000}"/>
    <hyperlink ref="G20" r:id="rId57" xr:uid="{00000000-0004-0000-0900-000038000000}"/>
    <hyperlink ref="C21" r:id="rId58" xr:uid="{00000000-0004-0000-0900-000039000000}"/>
    <hyperlink ref="D21" r:id="rId59" xr:uid="{00000000-0004-0000-0900-00003A000000}"/>
    <hyperlink ref="G21" r:id="rId60" xr:uid="{00000000-0004-0000-0900-00003B000000}"/>
    <hyperlink ref="L21" r:id="rId61" xr:uid="{00000000-0004-0000-0900-00003C000000}"/>
    <hyperlink ref="D22" r:id="rId62" xr:uid="{00000000-0004-0000-0900-00003D000000}"/>
    <hyperlink ref="G22" r:id="rId63" xr:uid="{00000000-0004-0000-0900-00003E000000}"/>
    <hyperlink ref="L22" r:id="rId64" xr:uid="{00000000-0004-0000-0900-00003F000000}"/>
    <hyperlink ref="C23" r:id="rId65" xr:uid="{00000000-0004-0000-0900-000040000000}"/>
    <hyperlink ref="G23" r:id="rId66" xr:uid="{00000000-0004-0000-0900-000041000000}"/>
    <hyperlink ref="C24" r:id="rId67" xr:uid="{00000000-0004-0000-0900-000042000000}"/>
    <hyperlink ref="D24" r:id="rId68" xr:uid="{00000000-0004-0000-0900-000043000000}"/>
    <hyperlink ref="G24" r:id="rId69" xr:uid="{00000000-0004-0000-0900-000044000000}"/>
    <hyperlink ref="L24" r:id="rId70" xr:uid="{00000000-0004-0000-0900-000045000000}"/>
    <hyperlink ref="C25" r:id="rId71" xr:uid="{00000000-0004-0000-0900-000046000000}"/>
    <hyperlink ref="D25" r:id="rId72" xr:uid="{00000000-0004-0000-0900-000047000000}"/>
    <hyperlink ref="G25" r:id="rId73" xr:uid="{00000000-0004-0000-0900-000048000000}"/>
    <hyperlink ref="L25" r:id="rId74" xr:uid="{00000000-0004-0000-0900-000049000000}"/>
    <hyperlink ref="C26" r:id="rId75" xr:uid="{00000000-0004-0000-0900-00004A000000}"/>
    <hyperlink ref="G26" r:id="rId76" xr:uid="{00000000-0004-0000-0900-00004B000000}"/>
    <hyperlink ref="L26" r:id="rId77" xr:uid="{00000000-0004-0000-0900-00004C000000}"/>
    <hyperlink ref="C27" r:id="rId78" xr:uid="{00000000-0004-0000-0900-00004D000000}"/>
    <hyperlink ref="D27" r:id="rId79" xr:uid="{00000000-0004-0000-0900-00004E000000}"/>
    <hyperlink ref="G27" r:id="rId80" xr:uid="{00000000-0004-0000-0900-00004F000000}"/>
    <hyperlink ref="L27" r:id="rId81" xr:uid="{00000000-0004-0000-0900-000050000000}"/>
    <hyperlink ref="C28" r:id="rId82" xr:uid="{00000000-0004-0000-0900-000051000000}"/>
    <hyperlink ref="D28" r:id="rId83" xr:uid="{00000000-0004-0000-0900-000052000000}"/>
    <hyperlink ref="G28" r:id="rId84" xr:uid="{00000000-0004-0000-0900-000053000000}"/>
    <hyperlink ref="L28" r:id="rId85" xr:uid="{00000000-0004-0000-0900-000054000000}"/>
    <hyperlink ref="C29" r:id="rId86" xr:uid="{00000000-0004-0000-0900-000055000000}"/>
    <hyperlink ref="D29" r:id="rId87" xr:uid="{00000000-0004-0000-0900-000056000000}"/>
    <hyperlink ref="G29" r:id="rId88" xr:uid="{00000000-0004-0000-0900-000057000000}"/>
    <hyperlink ref="L29" r:id="rId89" xr:uid="{00000000-0004-0000-0900-000058000000}"/>
    <hyperlink ref="C30" r:id="rId90" xr:uid="{00000000-0004-0000-0900-000059000000}"/>
    <hyperlink ref="D30" r:id="rId91" xr:uid="{00000000-0004-0000-0900-00005A000000}"/>
    <hyperlink ref="G30" r:id="rId92" xr:uid="{00000000-0004-0000-0900-00005B000000}"/>
    <hyperlink ref="D31" r:id="rId93" xr:uid="{00000000-0004-0000-0900-00005C000000}"/>
    <hyperlink ref="L31" r:id="rId94" xr:uid="{00000000-0004-0000-0900-00005D000000}"/>
  </hyperlinks>
  <pageMargins left="0.7" right="0.7" top="0.75" bottom="0.75" header="0.3" footer="0.3"/>
  <tableParts count="6">
    <tablePart r:id="rId95"/>
    <tablePart r:id="rId96"/>
    <tablePart r:id="rId97"/>
    <tablePart r:id="rId98"/>
    <tablePart r:id="rId99"/>
    <tablePart r:id="rId10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7"/>
  <sheetViews>
    <sheetView workbookViewId="0"/>
  </sheetViews>
  <sheetFormatPr baseColWidth="10" defaultColWidth="12.6640625" defaultRowHeight="15.75" customHeight="1"/>
  <sheetData>
    <row r="1" spans="1:2" ht="15.75" customHeight="1">
      <c r="A1" s="6" t="s">
        <v>842</v>
      </c>
      <c r="B1" s="6" t="s">
        <v>843</v>
      </c>
    </row>
    <row r="2" spans="1:2" ht="15.75" customHeight="1">
      <c r="A2" s="6" t="s">
        <v>30</v>
      </c>
      <c r="B2" s="6">
        <v>34</v>
      </c>
    </row>
    <row r="3" spans="1:2" ht="15.75" customHeight="1">
      <c r="A3" s="6" t="s">
        <v>51</v>
      </c>
      <c r="B3" s="6">
        <v>21</v>
      </c>
    </row>
    <row r="4" spans="1:2" ht="15.75" customHeight="1">
      <c r="A4" s="6" t="s">
        <v>58</v>
      </c>
      <c r="B4" s="6">
        <v>20</v>
      </c>
    </row>
    <row r="5" spans="1:2" ht="15.75" customHeight="1">
      <c r="A5" s="6" t="s">
        <v>15</v>
      </c>
      <c r="B5" s="6">
        <v>6</v>
      </c>
    </row>
    <row r="6" spans="1:2" ht="15.75" customHeight="1">
      <c r="A6" s="6" t="s">
        <v>73</v>
      </c>
      <c r="B6" s="6">
        <v>6</v>
      </c>
    </row>
    <row r="7" spans="1:2" ht="15.75" customHeight="1">
      <c r="A7" s="6" t="s">
        <v>18</v>
      </c>
      <c r="B7" s="6">
        <v>5</v>
      </c>
    </row>
  </sheetData>
  <phoneticPr fontId="25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OWM X BRANDSLAM</vt:lpstr>
      <vt:lpstr>종합</vt:lpstr>
      <vt:lpstr>6월 영미권 OWM(강남, 북촌, 성수, 종각, 이태원)</vt:lpstr>
      <vt:lpstr>6월 중화권 OWM(강남, 북촌, 성수, 종각, 이태원)</vt:lpstr>
      <vt:lpstr>6월 신사점 메가</vt:lpstr>
      <vt:lpstr>4,5월 성수지점</vt:lpstr>
      <vt:lpstr>4,5월 이태원지점</vt:lpstr>
      <vt:lpstr>4,5월  레포트 원본</vt:lpstr>
      <vt:lpstr>이태원성수레포트</vt:lpstr>
      <vt:lpstr>두지점통합레포트</vt:lpstr>
      <vt:lpstr>지점별 방문 인원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Jeonghoe Gu</cp:lastModifiedBy>
  <dcterms:modified xsi:type="dcterms:W3CDTF">2026-08-31T23:44:59Z</dcterms:modified>
</cp:coreProperties>
</file>